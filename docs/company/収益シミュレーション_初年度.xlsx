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条件" sheetId="1" state="visible" r:id="rId3"/>
    <sheet name="月次_保守" sheetId="2" state="visible" r:id="rId4"/>
    <sheet name="月次_標準" sheetId="3" state="visible" r:id="rId5"/>
    <sheet name="月次_強気" sheetId="4" state="visible" r:id="rId6"/>
    <sheet name="シナリオ比較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8" authorId="0">
      <text>
        <r>
          <rPr>
            <sz val="10"/>
            <rFont val="WenQuanYi Zen Hei"/>
            <family val="2"/>
          </rPr>
          <t xml:space="preserve">年間欄は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月目時点の稼働数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8" authorId="0">
      <text>
        <r>
          <rPr>
            <sz val="10"/>
            <rFont val="WenQuanYi Zen Hei"/>
            <family val="2"/>
          </rPr>
          <t xml:space="preserve">年間欄は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月目時点の稼働数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8" authorId="0">
      <text>
        <r>
          <rPr>
            <sz val="10"/>
            <rFont val="WenQuanYi Zen Hei"/>
            <family val="2"/>
          </rPr>
          <t xml:space="preserve">年間欄は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月目時点の稼働数</t>
        </r>
      </text>
    </comment>
  </commentList>
</comments>
</file>

<file path=xl/sharedStrings.xml><?xml version="1.0" encoding="utf-8"?>
<sst xmlns="http://schemas.openxmlformats.org/spreadsheetml/2006/main" count="157" uniqueCount="90">
  <si>
    <r>
      <rPr>
        <b val="true"/>
        <sz val="14"/>
        <rFont val="Yu Gothic"/>
        <family val="0"/>
        <charset val="1"/>
      </rPr>
      <t xml:space="preserve">Kaizen AI </t>
    </r>
    <r>
      <rPr>
        <b val="true"/>
        <sz val="14"/>
        <rFont val="WenQuanYi Zen Hei"/>
        <family val="2"/>
      </rPr>
      <t xml:space="preserve">初年度収益シミュレーション — 前提条件</t>
    </r>
  </si>
  <si>
    <r>
      <rPr>
        <i val="true"/>
        <sz val="9"/>
        <color rgb="FF808080"/>
        <rFont val="WenQuanYi Zen Hei"/>
        <family val="2"/>
      </rPr>
      <t xml:space="preserve">凡例</t>
    </r>
    <r>
      <rPr>
        <i val="true"/>
        <sz val="9"/>
        <color rgb="FF808080"/>
        <rFont val="Yu Gothic"/>
        <family val="0"/>
        <charset val="1"/>
      </rPr>
      <t xml:space="preserve">: </t>
    </r>
    <r>
      <rPr>
        <i val="true"/>
        <sz val="9"/>
        <color rgb="FF808080"/>
        <rFont val="WenQuanYi Zen Hei"/>
        <family val="2"/>
      </rPr>
      <t xml:space="preserve">青字＝入力セル（自由に変更可） </t>
    </r>
    <r>
      <rPr>
        <i val="true"/>
        <sz val="9"/>
        <color rgb="FF808080"/>
        <rFont val="Yu Gothic"/>
        <family val="0"/>
        <charset val="1"/>
      </rPr>
      <t xml:space="preserve">/ </t>
    </r>
    <r>
      <rPr>
        <i val="true"/>
        <sz val="9"/>
        <color rgb="FF808080"/>
        <rFont val="WenQuanYi Zen Hei"/>
        <family val="2"/>
      </rPr>
      <t xml:space="preserve">黄色塗り＝特に重要なレバー </t>
    </r>
    <r>
      <rPr>
        <i val="true"/>
        <sz val="9"/>
        <color rgb="FF808080"/>
        <rFont val="Yu Gothic"/>
        <family val="0"/>
        <charset val="1"/>
      </rPr>
      <t xml:space="preserve">/ </t>
    </r>
    <r>
      <rPr>
        <i val="true"/>
        <sz val="9"/>
        <color rgb="FF808080"/>
        <rFont val="WenQuanYi Zen Hei"/>
        <family val="2"/>
      </rPr>
      <t xml:space="preserve">黒字＝数式（変更しない）</t>
    </r>
  </si>
  <si>
    <t xml:space="preserve">※ 全て仮置きの前提です。実績が出たら随時更新してください。金額は万円・税抜。件数は期待値（小数）で計算します。</t>
  </si>
  <si>
    <r>
      <rPr>
        <b val="true"/>
        <sz val="11"/>
        <rFont val="Yu Gothic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営業活動（シナリオ別）</t>
    </r>
  </si>
  <si>
    <t xml:space="preserve">保守</t>
  </si>
  <si>
    <t xml:space="preserve">標準</t>
  </si>
  <si>
    <t xml:space="preserve">強気</t>
  </si>
  <si>
    <r>
      <rPr>
        <sz val="10"/>
        <rFont val="WenQuanYi Zen Hei"/>
        <family val="2"/>
      </rPr>
      <t xml:space="preserve">月間の無料相談件数（フル稼働時・件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月）</t>
    </r>
  </si>
  <si>
    <t xml:space="preserve">知人紹介・問い合わせから獲得できる相談数。最重要レバー</t>
  </si>
  <si>
    <t xml:space="preserve">相談 → 業務診断 の転換率</t>
  </si>
  <si>
    <t xml:space="preserve">無料相談のうち有償診断に進む割合</t>
  </si>
  <si>
    <t xml:space="preserve">診断 → プロジェクト の転換率</t>
  </si>
  <si>
    <t xml:space="preserve">診断実施後にプロジェクト受注に至る割合（翌月受注と仮定）</t>
  </si>
  <si>
    <t xml:space="preserve">プロジェクト → 顧問契約 の転換率</t>
  </si>
  <si>
    <t xml:space="preserve">プロジェクト完了後に顧問契約へ移行する割合（翌月開始と仮定）</t>
  </si>
  <si>
    <t xml:space="preserve">顧問契約の月次解約率</t>
  </si>
  <si>
    <r>
      <rPr>
        <i val="true"/>
        <sz val="9"/>
        <color rgb="FF808080"/>
        <rFont val="WenQuanYi Zen Hei"/>
        <family val="2"/>
      </rPr>
      <t xml:space="preserve">稼働中の顧問契約が</t>
    </r>
    <r>
      <rPr>
        <i val="true"/>
        <sz val="9"/>
        <color rgb="FF808080"/>
        <rFont val="Yu Gothic"/>
        <family val="0"/>
        <charset val="1"/>
      </rPr>
      <t xml:space="preserve">1</t>
    </r>
    <r>
      <rPr>
        <i val="true"/>
        <sz val="9"/>
        <color rgb="FF808080"/>
        <rFont val="WenQuanYi Zen Hei"/>
        <family val="2"/>
      </rPr>
      <t xml:space="preserve">ヶ月に解約される割合</t>
    </r>
  </si>
  <si>
    <r>
      <rPr>
        <sz val="10"/>
        <rFont val="WenQuanYi Zen Hei"/>
        <family val="2"/>
      </rPr>
      <t xml:space="preserve">研修・ワークショップ実施回数（回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四半期）</t>
    </r>
  </si>
  <si>
    <r>
      <rPr>
        <i val="true"/>
        <sz val="9"/>
        <color rgb="FF808080"/>
        <rFont val="Yu Gothic"/>
        <family val="0"/>
        <charset val="1"/>
      </rPr>
      <t xml:space="preserve">3</t>
    </r>
    <r>
      <rPr>
        <i val="true"/>
        <sz val="9"/>
        <color rgb="FF808080"/>
        <rFont val="WenQuanYi Zen Hei"/>
        <family val="2"/>
      </rPr>
      <t xml:space="preserve">・</t>
    </r>
    <r>
      <rPr>
        <i val="true"/>
        <sz val="9"/>
        <color rgb="FF808080"/>
        <rFont val="Yu Gothic"/>
        <family val="0"/>
        <charset val="1"/>
      </rPr>
      <t xml:space="preserve">6</t>
    </r>
    <r>
      <rPr>
        <i val="true"/>
        <sz val="9"/>
        <color rgb="FF808080"/>
        <rFont val="WenQuanYi Zen Hei"/>
        <family val="2"/>
      </rPr>
      <t xml:space="preserve">・</t>
    </r>
    <r>
      <rPr>
        <i val="true"/>
        <sz val="9"/>
        <color rgb="FF808080"/>
        <rFont val="Yu Gothic"/>
        <family val="0"/>
        <charset val="1"/>
      </rPr>
      <t xml:space="preserve">9</t>
    </r>
    <r>
      <rPr>
        <i val="true"/>
        <sz val="9"/>
        <color rgb="FF808080"/>
        <rFont val="WenQuanYi Zen Hei"/>
        <family val="2"/>
      </rPr>
      <t xml:space="preserve">・</t>
    </r>
    <r>
      <rPr>
        <i val="true"/>
        <sz val="9"/>
        <color rgb="FF808080"/>
        <rFont val="Yu Gothic"/>
        <family val="0"/>
        <charset val="1"/>
      </rPr>
      <t xml:space="preserve">12</t>
    </r>
    <r>
      <rPr>
        <i val="true"/>
        <sz val="9"/>
        <color rgb="FF808080"/>
        <rFont val="WenQuanYi Zen Hei"/>
        <family val="2"/>
      </rPr>
      <t xml:space="preserve">ヶ月目に計上</t>
    </r>
  </si>
  <si>
    <r>
      <rPr>
        <b val="true"/>
        <sz val="11"/>
        <rFont val="Yu Gothic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立ち上がり係数（共通）</t>
    </r>
  </si>
  <si>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ヶ月目（フル稼働比）</t>
    </r>
  </si>
  <si>
    <t xml:space="preserve">設立直後は営業基盤づくりに時間を要する想定</t>
  </si>
  <si>
    <r>
      <rPr>
        <sz val="10"/>
        <rFont val="Yu Gothic"/>
        <family val="0"/>
        <charset val="1"/>
      </rPr>
      <t xml:space="preserve">4</t>
    </r>
    <r>
      <rPr>
        <sz val="10"/>
        <rFont val="WenQuanYi Zen Hei"/>
        <family val="2"/>
      </rPr>
      <t xml:space="preserve">〜</t>
    </r>
    <r>
      <rPr>
        <sz val="10"/>
        <rFont val="Yu Gothic"/>
        <family val="0"/>
        <charset val="1"/>
      </rPr>
      <t xml:space="preserve">6</t>
    </r>
    <r>
      <rPr>
        <sz val="10"/>
        <rFont val="WenQuanYi Zen Hei"/>
        <family val="2"/>
      </rPr>
      <t xml:space="preserve">ヶ月目（フル稼働比）</t>
    </r>
  </si>
  <si>
    <r>
      <rPr>
        <sz val="10"/>
        <rFont val="Yu Gothic"/>
        <family val="0"/>
        <charset val="1"/>
      </rPr>
      <t xml:space="preserve">7</t>
    </r>
    <r>
      <rPr>
        <sz val="10"/>
        <rFont val="WenQuanYi Zen Hei"/>
        <family val="2"/>
      </rPr>
      <t xml:space="preserve">〜</t>
    </r>
    <r>
      <rPr>
        <sz val="10"/>
        <rFont val="Yu Gothic"/>
        <family val="0"/>
        <charset val="1"/>
      </rPr>
      <t xml:space="preserve">12</t>
    </r>
    <r>
      <rPr>
        <sz val="10"/>
        <rFont val="WenQuanYi Zen Hei"/>
        <family val="2"/>
      </rPr>
      <t xml:space="preserve">ヶ月目（フル稼働比）</t>
    </r>
  </si>
  <si>
    <r>
      <rPr>
        <b val="true"/>
        <sz val="11"/>
        <rFont val="Yu Gothic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単価（共通・万円・税抜）</t>
    </r>
  </si>
  <si>
    <r>
      <rPr>
        <sz val="10"/>
        <rFont val="WenQuanYi Zen Hei"/>
        <family val="2"/>
      </rPr>
      <t xml:space="preserve">業務診断 単価（万円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件）</t>
    </r>
  </si>
  <si>
    <r>
      <rPr>
        <i val="true"/>
        <sz val="9"/>
        <color rgb="FF808080"/>
        <rFont val="WenQuanYi Zen Hei"/>
        <family val="2"/>
      </rPr>
      <t xml:space="preserve">サービスカタログのレンジ </t>
    </r>
    <r>
      <rPr>
        <i val="true"/>
        <sz val="9"/>
        <color rgb="FF808080"/>
        <rFont val="Yu Gothic"/>
        <family val="0"/>
        <charset val="1"/>
      </rPr>
      <t xml:space="preserve">20</t>
    </r>
    <r>
      <rPr>
        <i val="true"/>
        <sz val="9"/>
        <color rgb="FF808080"/>
        <rFont val="WenQuanYi Zen Hei"/>
        <family val="2"/>
      </rPr>
      <t xml:space="preserve">〜</t>
    </r>
    <r>
      <rPr>
        <i val="true"/>
        <sz val="9"/>
        <color rgb="FF808080"/>
        <rFont val="Yu Gothic"/>
        <family val="0"/>
        <charset val="1"/>
      </rPr>
      <t xml:space="preserve">80</t>
    </r>
    <r>
      <rPr>
        <i val="true"/>
        <sz val="9"/>
        <color rgb="FF808080"/>
        <rFont val="WenQuanYi Zen Hei"/>
        <family val="2"/>
      </rPr>
      <t xml:space="preserve">万円の中央付近を仮置き</t>
    </r>
  </si>
  <si>
    <r>
      <rPr>
        <sz val="10"/>
        <rFont val="WenQuanYi Zen Hei"/>
        <family val="2"/>
      </rPr>
      <t xml:space="preserve">プロジェクト 単価（万円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件）</t>
    </r>
  </si>
  <si>
    <r>
      <rPr>
        <i val="true"/>
        <sz val="9"/>
        <color rgb="FF808080"/>
        <rFont val="WenQuanYi Zen Hei"/>
        <family val="2"/>
      </rPr>
      <t xml:space="preserve">レンジ </t>
    </r>
    <r>
      <rPr>
        <i val="true"/>
        <sz val="9"/>
        <color rgb="FF808080"/>
        <rFont val="Yu Gothic"/>
        <family val="0"/>
        <charset val="1"/>
      </rPr>
      <t xml:space="preserve">30</t>
    </r>
    <r>
      <rPr>
        <i val="true"/>
        <sz val="9"/>
        <color rgb="FF808080"/>
        <rFont val="WenQuanYi Zen Hei"/>
        <family val="2"/>
      </rPr>
      <t xml:space="preserve">〜</t>
    </r>
    <r>
      <rPr>
        <i val="true"/>
        <sz val="9"/>
        <color rgb="FF808080"/>
        <rFont val="Yu Gothic"/>
        <family val="0"/>
        <charset val="1"/>
      </rPr>
      <t xml:space="preserve">300</t>
    </r>
    <r>
      <rPr>
        <i val="true"/>
        <sz val="9"/>
        <color rgb="FF808080"/>
        <rFont val="WenQuanYi Zen Hei"/>
        <family val="2"/>
      </rPr>
      <t xml:space="preserve">万円。立ち上げ期は小型案件中心を想定</t>
    </r>
  </si>
  <si>
    <r>
      <rPr>
        <sz val="10"/>
        <rFont val="WenQuanYi Zen Hei"/>
        <family val="2"/>
      </rPr>
      <t xml:space="preserve">顧問契約 月額（万円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月）</t>
    </r>
  </si>
  <si>
    <r>
      <rPr>
        <i val="true"/>
        <sz val="9"/>
        <color rgb="FF808080"/>
        <rFont val="WenQuanYi Zen Hei"/>
        <family val="2"/>
      </rPr>
      <t xml:space="preserve">レンジ 月</t>
    </r>
    <r>
      <rPr>
        <i val="true"/>
        <sz val="9"/>
        <color rgb="FF808080"/>
        <rFont val="Yu Gothic"/>
        <family val="0"/>
        <charset val="1"/>
      </rPr>
      <t xml:space="preserve">15</t>
    </r>
    <r>
      <rPr>
        <i val="true"/>
        <sz val="9"/>
        <color rgb="FF808080"/>
        <rFont val="WenQuanYi Zen Hei"/>
        <family val="2"/>
      </rPr>
      <t xml:space="preserve">〜</t>
    </r>
    <r>
      <rPr>
        <i val="true"/>
        <sz val="9"/>
        <color rgb="FF808080"/>
        <rFont val="Yu Gothic"/>
        <family val="0"/>
        <charset val="1"/>
      </rPr>
      <t xml:space="preserve">50</t>
    </r>
    <r>
      <rPr>
        <i val="true"/>
        <sz val="9"/>
        <color rgb="FF808080"/>
        <rFont val="WenQuanYi Zen Hei"/>
        <family val="2"/>
      </rPr>
      <t xml:space="preserve">万円の下限寄りを仮置き</t>
    </r>
  </si>
  <si>
    <r>
      <rPr>
        <sz val="10"/>
        <rFont val="WenQuanYi Zen Hei"/>
        <family val="2"/>
      </rPr>
      <t xml:space="preserve">研修・ワークショップ 単価（万円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回）</t>
    </r>
  </si>
  <si>
    <r>
      <rPr>
        <i val="true"/>
        <sz val="9"/>
        <color rgb="FF808080"/>
        <rFont val="WenQuanYi Zen Hei"/>
        <family val="2"/>
      </rPr>
      <t xml:space="preserve">レンジ </t>
    </r>
    <r>
      <rPr>
        <i val="true"/>
        <sz val="9"/>
        <color rgb="FF808080"/>
        <rFont val="Yu Gothic"/>
        <family val="0"/>
        <charset val="1"/>
      </rPr>
      <t xml:space="preserve">10</t>
    </r>
    <r>
      <rPr>
        <i val="true"/>
        <sz val="9"/>
        <color rgb="FF808080"/>
        <rFont val="WenQuanYi Zen Hei"/>
        <family val="2"/>
      </rPr>
      <t xml:space="preserve">〜</t>
    </r>
    <r>
      <rPr>
        <i val="true"/>
        <sz val="9"/>
        <color rgb="FF808080"/>
        <rFont val="Yu Gothic"/>
        <family val="0"/>
        <charset val="1"/>
      </rPr>
      <t xml:space="preserve">50</t>
    </r>
    <r>
      <rPr>
        <i val="true"/>
        <sz val="9"/>
        <color rgb="FF808080"/>
        <rFont val="WenQuanYi Zen Hei"/>
        <family val="2"/>
      </rPr>
      <t xml:space="preserve">万円</t>
    </r>
  </si>
  <si>
    <r>
      <rPr>
        <b val="true"/>
        <sz val="11"/>
        <rFont val="Yu Gothic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コスト（共通・万円</t>
    </r>
    <r>
      <rPr>
        <b val="true"/>
        <sz val="11"/>
        <rFont val="Yu Gothic"/>
        <family val="0"/>
        <charset val="1"/>
      </rPr>
      <t xml:space="preserve">/</t>
    </r>
    <r>
      <rPr>
        <b val="true"/>
        <sz val="11"/>
        <rFont val="WenQuanYi Zen Hei"/>
        <family val="2"/>
      </rPr>
      <t xml:space="preserve">月）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</si>
  <si>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ツール・</t>
    </r>
    <r>
      <rPr>
        <sz val="10"/>
        <rFont val="Yu Gothic"/>
        <family val="0"/>
        <charset val="1"/>
      </rPr>
      <t xml:space="preserve">API</t>
    </r>
    <r>
      <rPr>
        <sz val="10"/>
        <rFont val="WenQuanYi Zen Hei"/>
        <family val="2"/>
      </rPr>
      <t xml:space="preserve">利用料（万円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月）</t>
    </r>
  </si>
  <si>
    <r>
      <rPr>
        <i val="true"/>
        <sz val="9"/>
        <color rgb="FF808080"/>
        <rFont val="Yu Gothic"/>
        <family val="0"/>
        <charset val="1"/>
      </rPr>
      <t xml:space="preserve">Claude API</t>
    </r>
    <r>
      <rPr>
        <i val="true"/>
        <sz val="9"/>
        <color rgb="FF808080"/>
        <rFont val="WenQuanYi Zen Hei"/>
        <family val="2"/>
      </rPr>
      <t xml:space="preserve">・各種</t>
    </r>
    <r>
      <rPr>
        <i val="true"/>
        <sz val="9"/>
        <color rgb="FF808080"/>
        <rFont val="Yu Gothic"/>
        <family val="0"/>
        <charset val="1"/>
      </rPr>
      <t xml:space="preserve">SaaS</t>
    </r>
    <r>
      <rPr>
        <i val="true"/>
        <sz val="9"/>
        <color rgb="FF808080"/>
        <rFont val="WenQuanYi Zen Hei"/>
        <family val="2"/>
      </rPr>
      <t xml:space="preserve">等</t>
    </r>
  </si>
  <si>
    <r>
      <rPr>
        <sz val="10"/>
        <rFont val="WenQuanYi Zen Hei"/>
        <family val="2"/>
      </rPr>
      <t xml:space="preserve">その他固定経費（万円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月）</t>
    </r>
  </si>
  <si>
    <t xml:space="preserve">会計ソフト・通信・交通・雑費等。役員報酬は含まない</t>
  </si>
  <si>
    <t xml:space="preserve">変動費率（売上比）</t>
  </si>
  <si>
    <t xml:space="preserve">案件遂行に伴う実費（外部ツール・出張等）の概算</t>
  </si>
  <si>
    <r>
      <rPr>
        <i val="true"/>
        <sz val="9"/>
        <color rgb="FF808080"/>
        <rFont val="WenQuanYi Zen Hei"/>
        <family val="2"/>
      </rPr>
      <t xml:space="preserve">注</t>
    </r>
    <r>
      <rPr>
        <i val="true"/>
        <sz val="9"/>
        <color rgb="FF808080"/>
        <rFont val="Yu Gothic"/>
        <family val="0"/>
        <charset val="1"/>
      </rPr>
      <t xml:space="preserve">: </t>
    </r>
    <r>
      <rPr>
        <i val="true"/>
        <sz val="9"/>
        <color rgb="FF808080"/>
        <rFont val="WenQuanYi Zen Hei"/>
        <family val="2"/>
      </rPr>
      <t xml:space="preserve">役員報酬・税金は含まない「営業ベース」の簡易モデルです。法人設立費用等の一時コストも別途。</t>
    </r>
  </si>
  <si>
    <r>
      <rPr>
        <b val="true"/>
        <sz val="14"/>
        <rFont val="WenQuanYi Zen Hei"/>
        <family val="2"/>
      </rPr>
      <t xml:space="preserve">月次計画 — 保守シナリオ（金額</t>
    </r>
    <r>
      <rPr>
        <b val="true"/>
        <sz val="14"/>
        <rFont val="Yu Gothic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万円・税抜 </t>
    </r>
    <r>
      <rPr>
        <b val="true"/>
        <sz val="14"/>
        <rFont val="Yu Gothic"/>
        <family val="0"/>
        <charset val="1"/>
      </rPr>
      <t xml:space="preserve">/ </t>
    </r>
    <r>
      <rPr>
        <b val="true"/>
        <sz val="14"/>
        <rFont val="WenQuanYi Zen Hei"/>
        <family val="2"/>
      </rPr>
      <t xml:space="preserve">件数</t>
    </r>
    <r>
      <rPr>
        <b val="true"/>
        <sz val="14"/>
        <rFont val="Yu Gothic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期待値）</t>
    </r>
  </si>
  <si>
    <t xml:space="preserve">月</t>
  </si>
  <si>
    <r>
      <rPr>
        <b val="true"/>
        <sz val="10"/>
        <rFont val="Yu Gothic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月目</t>
    </r>
  </si>
  <si>
    <r>
      <rPr>
        <b val="true"/>
        <sz val="10"/>
        <rFont val="Yu Gothic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月目</t>
    </r>
  </si>
  <si>
    <r>
      <rPr>
        <b val="true"/>
        <sz val="10"/>
        <rFont val="Yu Gothic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月目</t>
    </r>
  </si>
  <si>
    <r>
      <rPr>
        <b val="true"/>
        <sz val="10"/>
        <rFont val="Yu Gothic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月目</t>
    </r>
  </si>
  <si>
    <r>
      <rPr>
        <b val="true"/>
        <sz val="10"/>
        <rFont val="Yu Gothic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月目</t>
    </r>
  </si>
  <si>
    <r>
      <rPr>
        <b val="true"/>
        <sz val="10"/>
        <rFont val="Yu Gothic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月目</t>
    </r>
  </si>
  <si>
    <r>
      <rPr>
        <b val="true"/>
        <sz val="10"/>
        <rFont val="Yu Gothic"/>
        <family val="0"/>
        <charset val="1"/>
      </rPr>
      <t xml:space="preserve">7</t>
    </r>
    <r>
      <rPr>
        <b val="true"/>
        <sz val="10"/>
        <rFont val="WenQuanYi Zen Hei"/>
        <family val="2"/>
      </rPr>
      <t xml:space="preserve">月目</t>
    </r>
  </si>
  <si>
    <r>
      <rPr>
        <b val="true"/>
        <sz val="10"/>
        <rFont val="Yu Gothic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月目</t>
    </r>
  </si>
  <si>
    <r>
      <rPr>
        <b val="true"/>
        <sz val="10"/>
        <rFont val="Yu Gothic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月目</t>
    </r>
  </si>
  <si>
    <r>
      <rPr>
        <b val="true"/>
        <sz val="10"/>
        <rFont val="Yu Gothic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月目</t>
    </r>
  </si>
  <si>
    <r>
      <rPr>
        <b val="true"/>
        <sz val="10"/>
        <rFont val="Yu Gothic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月目</t>
    </r>
  </si>
  <si>
    <r>
      <rPr>
        <b val="true"/>
        <sz val="10"/>
        <rFont val="Yu Gothic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月目</t>
    </r>
  </si>
  <si>
    <t xml:space="preserve">年間</t>
  </si>
  <si>
    <t xml:space="preserve">無料相談件数（件）</t>
  </si>
  <si>
    <t xml:space="preserve">業務診断 件数（件）</t>
  </si>
  <si>
    <t xml:space="preserve">プロジェクト 件数（件）</t>
  </si>
  <si>
    <t xml:space="preserve">顧問 新規獲得（件）</t>
  </si>
  <si>
    <t xml:space="preserve">顧問 稼働数（件・月末）</t>
  </si>
  <si>
    <t xml:space="preserve">研修 実施回数（回）</t>
  </si>
  <si>
    <t xml:space="preserve">売上（万円）</t>
  </si>
  <si>
    <t xml:space="preserve">　業務診断</t>
  </si>
  <si>
    <t xml:space="preserve">　プロジェクト</t>
  </si>
  <si>
    <t xml:space="preserve">　顧問契約</t>
  </si>
  <si>
    <t xml:space="preserve">　研修</t>
  </si>
  <si>
    <t xml:space="preserve">売上合計</t>
  </si>
  <si>
    <t xml:space="preserve">コスト（万円）</t>
  </si>
  <si>
    <t xml:space="preserve">　固定費（ツール＋経費）</t>
  </si>
  <si>
    <t xml:space="preserve">　変動費</t>
  </si>
  <si>
    <t xml:space="preserve">コスト合計</t>
  </si>
  <si>
    <t xml:space="preserve">営業利益</t>
  </si>
  <si>
    <t xml:space="preserve">累計営業利益</t>
  </si>
  <si>
    <r>
      <rPr>
        <b val="true"/>
        <sz val="14"/>
        <rFont val="WenQuanYi Zen Hei"/>
        <family val="2"/>
      </rPr>
      <t xml:space="preserve">月次計画 — 標準シナリオ（金額</t>
    </r>
    <r>
      <rPr>
        <b val="true"/>
        <sz val="14"/>
        <rFont val="Yu Gothic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万円・税抜 </t>
    </r>
    <r>
      <rPr>
        <b val="true"/>
        <sz val="14"/>
        <rFont val="Yu Gothic"/>
        <family val="0"/>
        <charset val="1"/>
      </rPr>
      <t xml:space="preserve">/ </t>
    </r>
    <r>
      <rPr>
        <b val="true"/>
        <sz val="14"/>
        <rFont val="WenQuanYi Zen Hei"/>
        <family val="2"/>
      </rPr>
      <t xml:space="preserve">件数</t>
    </r>
    <r>
      <rPr>
        <b val="true"/>
        <sz val="14"/>
        <rFont val="Yu Gothic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期待値）</t>
    </r>
  </si>
  <si>
    <r>
      <rPr>
        <b val="true"/>
        <sz val="14"/>
        <rFont val="WenQuanYi Zen Hei"/>
        <family val="2"/>
      </rPr>
      <t xml:space="preserve">月次計画 — 強気シナリオ（金額</t>
    </r>
    <r>
      <rPr>
        <b val="true"/>
        <sz val="14"/>
        <rFont val="Yu Gothic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万円・税抜 </t>
    </r>
    <r>
      <rPr>
        <b val="true"/>
        <sz val="14"/>
        <rFont val="Yu Gothic"/>
        <family val="0"/>
        <charset val="1"/>
      </rPr>
      <t xml:space="preserve">/ </t>
    </r>
    <r>
      <rPr>
        <b val="true"/>
        <sz val="14"/>
        <rFont val="WenQuanYi Zen Hei"/>
        <family val="2"/>
      </rPr>
      <t xml:space="preserve">件数</t>
    </r>
    <r>
      <rPr>
        <b val="true"/>
        <sz val="14"/>
        <rFont val="Yu Gothic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期待値）</t>
    </r>
  </si>
  <si>
    <t xml:space="preserve">初年度サマリー — シナリオ比較（万円・税抜）</t>
  </si>
  <si>
    <t xml:space="preserve">緑字＝各月次シートの年間欄を参照。前提を変えると自動で更新されます。</t>
  </si>
  <si>
    <t xml:space="preserve">年間売上 合計</t>
  </si>
  <si>
    <t xml:space="preserve">　うち 業務診断</t>
  </si>
  <si>
    <t xml:space="preserve">　うち プロジェクト</t>
  </si>
  <si>
    <t xml:space="preserve">　うち 顧問契約</t>
  </si>
  <si>
    <t xml:space="preserve">　うち 研修</t>
  </si>
  <si>
    <t xml:space="preserve">年間コスト 合計</t>
  </si>
  <si>
    <t xml:space="preserve">年間営業利益</t>
  </si>
  <si>
    <r>
      <rPr>
        <sz val="10"/>
        <rFont val="Yu Gothic"/>
        <family val="0"/>
        <charset val="1"/>
      </rPr>
      <t xml:space="preserve">12</t>
    </r>
    <r>
      <rPr>
        <sz val="10"/>
        <rFont val="WenQuanYi Zen Hei"/>
        <family val="2"/>
      </rPr>
      <t xml:space="preserve">月目の月次売上</t>
    </r>
  </si>
  <si>
    <t xml:space="preserve">年末の顧問稼働数（件）</t>
  </si>
  <si>
    <t xml:space="preserve">年間の無料相談件数（件）</t>
  </si>
  <si>
    <t xml:space="preserve">※ 役員報酬・税金・設立費用は含まない営業ベースの簡易モデル。件数は期待値（小数）。</t>
  </si>
  <si>
    <t xml:space="preserve">※ 前提は全て仮置き。営業実績が出たら「前提条件」シートを実績値で更新すること。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</si>
</sst>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(#,##0.0\);\-"/>
    <numFmt numFmtId="166" formatCode="0.0%"/>
    <numFmt numFmtId="167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Yu Gothic"/>
      <family val="0"/>
      <charset val="1"/>
    </font>
    <font>
      <b val="true"/>
      <sz val="14"/>
      <name val="WenQuanYi Zen Hei"/>
      <family val="2"/>
    </font>
    <font>
      <i val="true"/>
      <sz val="9"/>
      <color rgb="FF808080"/>
      <name val="WenQuanYi Zen Hei"/>
      <family val="2"/>
    </font>
    <font>
      <i val="true"/>
      <sz val="9"/>
      <color rgb="FF808080"/>
      <name val="Yu Gothic"/>
      <family val="0"/>
      <charset val="1"/>
    </font>
    <font>
      <b val="true"/>
      <sz val="11"/>
      <name val="Yu Gothic"/>
      <family val="0"/>
      <charset val="1"/>
    </font>
    <font>
      <b val="true"/>
      <sz val="11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Yu Gothic"/>
      <family val="0"/>
      <charset val="1"/>
    </font>
    <font>
      <sz val="10"/>
      <color rgb="FF0000FF"/>
      <name val="Yu Gothic"/>
      <family val="0"/>
      <charset val="1"/>
    </font>
    <font>
      <b val="true"/>
      <sz val="10"/>
      <name val="Yu Gothic"/>
      <family val="0"/>
      <charset val="1"/>
    </font>
    <font>
      <sz val="10"/>
      <color rgb="FF008000"/>
      <name val="Yu Gothic"/>
      <family val="0"/>
      <charset val="1"/>
    </font>
    <font>
      <sz val="10"/>
      <name val="Arial"/>
      <family val="2"/>
    </font>
    <font>
      <b val="true"/>
      <sz val="10"/>
      <color rgb="FF008000"/>
      <name val="Yu Goth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5" min="3" style="0" width="12"/>
    <col collapsed="false" customWidth="true" hidden="false" outlineLevel="0" max="6" min="6" style="0" width="60"/>
  </cols>
  <sheetData>
    <row r="1" customFormat="false" ht="19.4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 t="s">
        <v>2</v>
      </c>
    </row>
    <row r="5" customFormat="false" ht="15" hidden="false" customHeight="false" outlineLevel="0" collapsed="false">
      <c r="B5" s="3" t="s">
        <v>3</v>
      </c>
      <c r="C5" s="4"/>
      <c r="D5" s="4"/>
      <c r="E5" s="4"/>
      <c r="F5" s="4"/>
    </row>
    <row r="6" customFormat="false" ht="15" hidden="false" customHeight="false" outlineLevel="0" collapsed="false">
      <c r="C6" s="5" t="s">
        <v>4</v>
      </c>
      <c r="D6" s="5" t="s">
        <v>5</v>
      </c>
      <c r="E6" s="5" t="s">
        <v>6</v>
      </c>
    </row>
    <row r="7" customFormat="false" ht="15" hidden="false" customHeight="false" outlineLevel="0" collapsed="false">
      <c r="B7" s="6" t="s">
        <v>7</v>
      </c>
      <c r="C7" s="7" t="n">
        <v>2</v>
      </c>
      <c r="D7" s="7" t="n">
        <v>4</v>
      </c>
      <c r="E7" s="7" t="n">
        <v>6</v>
      </c>
      <c r="F7" s="2" t="s">
        <v>8</v>
      </c>
    </row>
    <row r="8" customFormat="false" ht="15" hidden="false" customHeight="false" outlineLevel="0" collapsed="false">
      <c r="B8" s="6" t="s">
        <v>9</v>
      </c>
      <c r="C8" s="8" t="n">
        <v>0.3</v>
      </c>
      <c r="D8" s="8" t="n">
        <v>0.4</v>
      </c>
      <c r="E8" s="8" t="n">
        <v>0.5</v>
      </c>
      <c r="F8" s="2" t="s">
        <v>10</v>
      </c>
    </row>
    <row r="9" customFormat="false" ht="15" hidden="false" customHeight="false" outlineLevel="0" collapsed="false">
      <c r="B9" s="6" t="s">
        <v>11</v>
      </c>
      <c r="C9" s="8" t="n">
        <v>0.4</v>
      </c>
      <c r="D9" s="8" t="n">
        <v>0.5</v>
      </c>
      <c r="E9" s="8" t="n">
        <v>0.6</v>
      </c>
      <c r="F9" s="2" t="s">
        <v>12</v>
      </c>
    </row>
    <row r="10" customFormat="false" ht="15" hidden="false" customHeight="false" outlineLevel="0" collapsed="false">
      <c r="B10" s="6" t="s">
        <v>13</v>
      </c>
      <c r="C10" s="8" t="n">
        <v>0.3</v>
      </c>
      <c r="D10" s="8" t="n">
        <v>0.4</v>
      </c>
      <c r="E10" s="8" t="n">
        <v>0.5</v>
      </c>
      <c r="F10" s="2" t="s">
        <v>14</v>
      </c>
    </row>
    <row r="11" customFormat="false" ht="15" hidden="false" customHeight="false" outlineLevel="0" collapsed="false">
      <c r="B11" s="6" t="s">
        <v>15</v>
      </c>
      <c r="C11" s="8" t="n">
        <v>0.05</v>
      </c>
      <c r="D11" s="8" t="n">
        <v>0.03</v>
      </c>
      <c r="E11" s="8" t="n">
        <v>0.02</v>
      </c>
      <c r="F11" s="2" t="s">
        <v>16</v>
      </c>
    </row>
    <row r="12" customFormat="false" ht="15" hidden="false" customHeight="false" outlineLevel="0" collapsed="false">
      <c r="B12" s="6" t="s">
        <v>17</v>
      </c>
      <c r="C12" s="9" t="n">
        <v>0</v>
      </c>
      <c r="D12" s="9" t="n">
        <v>1</v>
      </c>
      <c r="E12" s="9" t="n">
        <v>2</v>
      </c>
      <c r="F12" s="10" t="s">
        <v>18</v>
      </c>
    </row>
    <row r="14" customFormat="false" ht="15" hidden="false" customHeight="false" outlineLevel="0" collapsed="false">
      <c r="B14" s="3" t="s">
        <v>19</v>
      </c>
      <c r="C14" s="4"/>
      <c r="D14" s="4"/>
      <c r="E14" s="4"/>
      <c r="F14" s="4"/>
    </row>
    <row r="15" customFormat="false" ht="15" hidden="false" customHeight="false" outlineLevel="0" collapsed="false">
      <c r="B15" s="11" t="s">
        <v>20</v>
      </c>
      <c r="C15" s="8" t="n">
        <v>0.5</v>
      </c>
      <c r="F15" s="2" t="s">
        <v>21</v>
      </c>
    </row>
    <row r="16" customFormat="false" ht="15" hidden="false" customHeight="false" outlineLevel="0" collapsed="false">
      <c r="B16" s="11" t="s">
        <v>22</v>
      </c>
      <c r="C16" s="8" t="n">
        <v>0.75</v>
      </c>
    </row>
    <row r="17" customFormat="false" ht="15" hidden="false" customHeight="false" outlineLevel="0" collapsed="false">
      <c r="B17" s="11" t="s">
        <v>23</v>
      </c>
      <c r="C17" s="8" t="n">
        <v>1</v>
      </c>
    </row>
    <row r="19" customFormat="false" ht="15" hidden="false" customHeight="false" outlineLevel="0" collapsed="false">
      <c r="B19" s="3" t="s">
        <v>24</v>
      </c>
      <c r="C19" s="4"/>
      <c r="D19" s="4"/>
      <c r="E19" s="4"/>
      <c r="F19" s="4"/>
    </row>
    <row r="20" customFormat="false" ht="15" hidden="false" customHeight="false" outlineLevel="0" collapsed="false">
      <c r="B20" s="6" t="s">
        <v>25</v>
      </c>
      <c r="C20" s="12" t="n">
        <v>40</v>
      </c>
      <c r="F20" s="2" t="s">
        <v>26</v>
      </c>
    </row>
    <row r="21" customFormat="false" ht="15" hidden="false" customHeight="false" outlineLevel="0" collapsed="false">
      <c r="B21" s="6" t="s">
        <v>27</v>
      </c>
      <c r="C21" s="12" t="n">
        <v>80</v>
      </c>
      <c r="F21" s="2" t="s">
        <v>28</v>
      </c>
    </row>
    <row r="22" customFormat="false" ht="15" hidden="false" customHeight="false" outlineLevel="0" collapsed="false">
      <c r="B22" s="6" t="s">
        <v>29</v>
      </c>
      <c r="C22" s="12" t="n">
        <v>20</v>
      </c>
      <c r="F22" s="2" t="s">
        <v>30</v>
      </c>
    </row>
    <row r="23" customFormat="false" ht="15" hidden="false" customHeight="false" outlineLevel="0" collapsed="false">
      <c r="B23" s="6" t="s">
        <v>31</v>
      </c>
      <c r="C23" s="13" t="n">
        <v>25</v>
      </c>
      <c r="F23" s="2" t="s">
        <v>32</v>
      </c>
    </row>
    <row r="25" customFormat="false" ht="15" hidden="false" customHeight="false" outlineLevel="0" collapsed="false">
      <c r="B25" s="3" t="s">
        <v>33</v>
      </c>
      <c r="C25" s="4"/>
      <c r="D25" s="4"/>
      <c r="E25" s="4"/>
      <c r="F25" s="4"/>
    </row>
    <row r="26" customFormat="false" ht="15" hidden="false" customHeight="false" outlineLevel="0" collapsed="false">
      <c r="B26" s="11" t="s">
        <v>34</v>
      </c>
      <c r="C26" s="9" t="n">
        <v>3</v>
      </c>
      <c r="F26" s="10" t="s">
        <v>35</v>
      </c>
    </row>
    <row r="27" customFormat="false" ht="15" hidden="false" customHeight="false" outlineLevel="0" collapsed="false">
      <c r="B27" s="6" t="s">
        <v>36</v>
      </c>
      <c r="C27" s="9" t="n">
        <v>7</v>
      </c>
      <c r="F27" s="2" t="s">
        <v>37</v>
      </c>
    </row>
    <row r="28" customFormat="false" ht="15" hidden="false" customHeight="false" outlineLevel="0" collapsed="false">
      <c r="B28" s="6" t="s">
        <v>38</v>
      </c>
      <c r="C28" s="8" t="n">
        <v>0.05</v>
      </c>
      <c r="F28" s="2" t="s">
        <v>39</v>
      </c>
    </row>
    <row r="30" customFormat="false" ht="15" hidden="false" customHeight="false" outlineLevel="0" collapsed="false">
      <c r="B30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9.5"/>
    <col collapsed="false" customWidth="true" hidden="false" outlineLevel="0" max="14" min="14" style="0" width="11"/>
  </cols>
  <sheetData>
    <row r="1" customFormat="false" ht="19.4" hidden="false" customHeight="false" outlineLevel="0" collapsed="false">
      <c r="A1" s="14" t="s">
        <v>41</v>
      </c>
    </row>
    <row r="3" customFormat="false" ht="15" hidden="false" customHeight="false" outlineLevel="0" collapsed="false">
      <c r="A3" s="15" t="s">
        <v>42</v>
      </c>
      <c r="B3" s="16" t="s">
        <v>43</v>
      </c>
      <c r="C3" s="16" t="s">
        <v>44</v>
      </c>
      <c r="D3" s="16" t="s">
        <v>45</v>
      </c>
      <c r="E3" s="16" t="s">
        <v>46</v>
      </c>
      <c r="F3" s="16" t="s">
        <v>47</v>
      </c>
      <c r="G3" s="16" t="s">
        <v>48</v>
      </c>
      <c r="H3" s="16" t="s">
        <v>49</v>
      </c>
      <c r="I3" s="16" t="s">
        <v>50</v>
      </c>
      <c r="J3" s="16" t="s">
        <v>51</v>
      </c>
      <c r="K3" s="16" t="s">
        <v>52</v>
      </c>
      <c r="L3" s="16" t="s">
        <v>53</v>
      </c>
      <c r="M3" s="16" t="s">
        <v>54</v>
      </c>
      <c r="N3" s="5" t="s">
        <v>55</v>
      </c>
    </row>
    <row r="4" customFormat="false" ht="15" hidden="false" customHeight="false" outlineLevel="0" collapsed="false">
      <c r="A4" s="15" t="s">
        <v>56</v>
      </c>
      <c r="B4" s="17" t="n">
        <f aca="false">前提条件!$C$7*前提条件!$C$15</f>
        <v>1</v>
      </c>
      <c r="C4" s="17" t="n">
        <f aca="false">前提条件!$C$7*前提条件!$C$15</f>
        <v>1</v>
      </c>
      <c r="D4" s="17" t="n">
        <f aca="false">前提条件!$C$7*前提条件!$C$15</f>
        <v>1</v>
      </c>
      <c r="E4" s="17" t="n">
        <f aca="false">前提条件!$C$7*前提条件!$C$16</f>
        <v>1.5</v>
      </c>
      <c r="F4" s="17" t="n">
        <f aca="false">前提条件!$C$7*前提条件!$C$16</f>
        <v>1.5</v>
      </c>
      <c r="G4" s="17" t="n">
        <f aca="false">前提条件!$C$7*前提条件!$C$16</f>
        <v>1.5</v>
      </c>
      <c r="H4" s="17" t="n">
        <f aca="false">前提条件!$C$7*前提条件!$C$17</f>
        <v>2</v>
      </c>
      <c r="I4" s="17" t="n">
        <f aca="false">前提条件!$C$7*前提条件!$C$17</f>
        <v>2</v>
      </c>
      <c r="J4" s="17" t="n">
        <f aca="false">前提条件!$C$7*前提条件!$C$17</f>
        <v>2</v>
      </c>
      <c r="K4" s="17" t="n">
        <f aca="false">前提条件!$C$7*前提条件!$C$17</f>
        <v>2</v>
      </c>
      <c r="L4" s="17" t="n">
        <f aca="false">前提条件!$C$7*前提条件!$C$17</f>
        <v>2</v>
      </c>
      <c r="M4" s="17" t="n">
        <f aca="false">前提条件!$C$7*前提条件!$C$17</f>
        <v>2</v>
      </c>
      <c r="N4" s="18" t="n">
        <f aca="false">SUM(B4:M4)</f>
        <v>19.5</v>
      </c>
    </row>
    <row r="5" customFormat="false" ht="15" hidden="false" customHeight="false" outlineLevel="0" collapsed="false">
      <c r="A5" s="15" t="s">
        <v>57</v>
      </c>
      <c r="B5" s="18" t="n">
        <f aca="false">B4*前提条件!$C$8</f>
        <v>0.3</v>
      </c>
      <c r="C5" s="18" t="n">
        <f aca="false">C4*前提条件!$C$8</f>
        <v>0.3</v>
      </c>
      <c r="D5" s="18" t="n">
        <f aca="false">D4*前提条件!$C$8</f>
        <v>0.3</v>
      </c>
      <c r="E5" s="18" t="n">
        <f aca="false">E4*前提条件!$C$8</f>
        <v>0.45</v>
      </c>
      <c r="F5" s="18" t="n">
        <f aca="false">F4*前提条件!$C$8</f>
        <v>0.45</v>
      </c>
      <c r="G5" s="18" t="n">
        <f aca="false">G4*前提条件!$C$8</f>
        <v>0.45</v>
      </c>
      <c r="H5" s="18" t="n">
        <f aca="false">H4*前提条件!$C$8</f>
        <v>0.6</v>
      </c>
      <c r="I5" s="18" t="n">
        <f aca="false">I4*前提条件!$C$8</f>
        <v>0.6</v>
      </c>
      <c r="J5" s="18" t="n">
        <f aca="false">J4*前提条件!$C$8</f>
        <v>0.6</v>
      </c>
      <c r="K5" s="18" t="n">
        <f aca="false">K4*前提条件!$C$8</f>
        <v>0.6</v>
      </c>
      <c r="L5" s="18" t="n">
        <f aca="false">L4*前提条件!$C$8</f>
        <v>0.6</v>
      </c>
      <c r="M5" s="18" t="n">
        <f aca="false">M4*前提条件!$C$8</f>
        <v>0.6</v>
      </c>
      <c r="N5" s="19" t="n">
        <f aca="false">SUM(B5:M5)</f>
        <v>5.85</v>
      </c>
    </row>
    <row r="6" customFormat="false" ht="15" hidden="false" customHeight="false" outlineLevel="0" collapsed="false">
      <c r="A6" s="15" t="s">
        <v>58</v>
      </c>
      <c r="B6" s="18" t="n">
        <v>0</v>
      </c>
      <c r="C6" s="18" t="n">
        <f aca="false">B5*前提条件!$C$9</f>
        <v>0.12</v>
      </c>
      <c r="D6" s="18" t="n">
        <f aca="false">C5*前提条件!$C$9</f>
        <v>0.12</v>
      </c>
      <c r="E6" s="18" t="n">
        <f aca="false">D5*前提条件!$C$9</f>
        <v>0.12</v>
      </c>
      <c r="F6" s="18" t="n">
        <f aca="false">E5*前提条件!$C$9</f>
        <v>0.18</v>
      </c>
      <c r="G6" s="18" t="n">
        <f aca="false">F5*前提条件!$C$9</f>
        <v>0.18</v>
      </c>
      <c r="H6" s="18" t="n">
        <f aca="false">G5*前提条件!$C$9</f>
        <v>0.18</v>
      </c>
      <c r="I6" s="18" t="n">
        <f aca="false">H5*前提条件!$C$9</f>
        <v>0.24</v>
      </c>
      <c r="J6" s="18" t="n">
        <f aca="false">I5*前提条件!$C$9</f>
        <v>0.24</v>
      </c>
      <c r="K6" s="18" t="n">
        <f aca="false">J5*前提条件!$C$9</f>
        <v>0.24</v>
      </c>
      <c r="L6" s="18" t="n">
        <f aca="false">K5*前提条件!$C$9</f>
        <v>0.24</v>
      </c>
      <c r="M6" s="18" t="n">
        <f aca="false">L5*前提条件!$C$9</f>
        <v>0.24</v>
      </c>
      <c r="N6" s="19" t="n">
        <f aca="false">SUM(B6:M6)</f>
        <v>2.1</v>
      </c>
    </row>
    <row r="7" customFormat="false" ht="15" hidden="false" customHeight="false" outlineLevel="0" collapsed="false">
      <c r="A7" s="15" t="s">
        <v>59</v>
      </c>
      <c r="B7" s="18" t="n">
        <v>0</v>
      </c>
      <c r="C7" s="18" t="n">
        <f aca="false">B6*前提条件!$C$10</f>
        <v>0</v>
      </c>
      <c r="D7" s="18" t="n">
        <f aca="false">C6*前提条件!$C$10</f>
        <v>0.036</v>
      </c>
      <c r="E7" s="18" t="n">
        <f aca="false">D6*前提条件!$C$10</f>
        <v>0.036</v>
      </c>
      <c r="F7" s="18" t="n">
        <f aca="false">E6*前提条件!$C$10</f>
        <v>0.036</v>
      </c>
      <c r="G7" s="18" t="n">
        <f aca="false">F6*前提条件!$C$10</f>
        <v>0.054</v>
      </c>
      <c r="H7" s="18" t="n">
        <f aca="false">G6*前提条件!$C$10</f>
        <v>0.054</v>
      </c>
      <c r="I7" s="18" t="n">
        <f aca="false">H6*前提条件!$C$10</f>
        <v>0.054</v>
      </c>
      <c r="J7" s="18" t="n">
        <f aca="false">I6*前提条件!$C$10</f>
        <v>0.072</v>
      </c>
      <c r="K7" s="18" t="n">
        <f aca="false">J6*前提条件!$C$10</f>
        <v>0.072</v>
      </c>
      <c r="L7" s="18" t="n">
        <f aca="false">K6*前提条件!$C$10</f>
        <v>0.072</v>
      </c>
      <c r="M7" s="18" t="n">
        <f aca="false">L6*前提条件!$C$10</f>
        <v>0.072</v>
      </c>
      <c r="N7" s="19" t="n">
        <f aca="false">SUM(B7:M7)</f>
        <v>0.558</v>
      </c>
    </row>
    <row r="8" customFormat="false" ht="15" hidden="false" customHeight="false" outlineLevel="0" collapsed="false">
      <c r="A8" s="15" t="s">
        <v>60</v>
      </c>
      <c r="B8" s="18" t="n">
        <f aca="false">B7</f>
        <v>0</v>
      </c>
      <c r="C8" s="18" t="n">
        <f aca="false">B8*(1-前提条件!$C$11)+C7</f>
        <v>0</v>
      </c>
      <c r="D8" s="18" t="n">
        <f aca="false">C8*(1-前提条件!$C$11)+D7</f>
        <v>0.036</v>
      </c>
      <c r="E8" s="18" t="n">
        <f aca="false">D8*(1-前提条件!$C$11)+E7</f>
        <v>0.0702</v>
      </c>
      <c r="F8" s="18" t="n">
        <f aca="false">E8*(1-前提条件!$C$11)+F7</f>
        <v>0.10269</v>
      </c>
      <c r="G8" s="18" t="n">
        <f aca="false">F8*(1-前提条件!$C$11)+G7</f>
        <v>0.1515555</v>
      </c>
      <c r="H8" s="18" t="n">
        <f aca="false">G8*(1-前提条件!$C$11)+H7</f>
        <v>0.197977725</v>
      </c>
      <c r="I8" s="18" t="n">
        <f aca="false">H8*(1-前提条件!$C$11)+I7</f>
        <v>0.24207883875</v>
      </c>
      <c r="J8" s="18" t="n">
        <f aca="false">I8*(1-前提条件!$C$11)+J7</f>
        <v>0.3019748968125</v>
      </c>
      <c r="K8" s="18" t="n">
        <f aca="false">J8*(1-前提条件!$C$11)+K7</f>
        <v>0.358876151971875</v>
      </c>
      <c r="L8" s="18" t="n">
        <f aca="false">K8*(1-前提条件!$C$11)+L7</f>
        <v>0.412932344373281</v>
      </c>
      <c r="M8" s="18" t="n">
        <f aca="false">L8*(1-前提条件!$C$11)+M7</f>
        <v>0.464285727154617</v>
      </c>
      <c r="N8" s="19" t="n">
        <f aca="false">M8</f>
        <v>0.464285727154617</v>
      </c>
    </row>
    <row r="9" customFormat="false" ht="15" hidden="false" customHeight="false" outlineLevel="0" collapsed="false">
      <c r="A9" s="15" t="s">
        <v>61</v>
      </c>
      <c r="B9" s="18" t="n">
        <v>0</v>
      </c>
      <c r="C9" s="18" t="n">
        <v>0</v>
      </c>
      <c r="D9" s="17" t="n">
        <f aca="false">前提条件!$C$12</f>
        <v>0</v>
      </c>
      <c r="E9" s="18" t="n">
        <v>0</v>
      </c>
      <c r="F9" s="18" t="n">
        <v>0</v>
      </c>
      <c r="G9" s="17" t="n">
        <f aca="false">前提条件!$C$12</f>
        <v>0</v>
      </c>
      <c r="H9" s="18" t="n">
        <v>0</v>
      </c>
      <c r="I9" s="18" t="n">
        <v>0</v>
      </c>
      <c r="J9" s="17" t="n">
        <f aca="false">前提条件!$C$12</f>
        <v>0</v>
      </c>
      <c r="K9" s="18" t="n">
        <v>0</v>
      </c>
      <c r="L9" s="18" t="n">
        <v>0</v>
      </c>
      <c r="M9" s="17" t="n">
        <f aca="false">前提条件!$C$12</f>
        <v>0</v>
      </c>
      <c r="N9" s="19" t="n">
        <f aca="false">SUM(B9:M9)</f>
        <v>0</v>
      </c>
    </row>
    <row r="10" customFormat="false" ht="15" hidden="false" customHeight="false" outlineLevel="0" collapsed="false">
      <c r="A10" s="20" t="s">
        <v>62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5" t="s">
        <v>63</v>
      </c>
      <c r="B11" s="21" t="n">
        <f aca="false">B5*前提条件!$C$20</f>
        <v>12</v>
      </c>
      <c r="C11" s="21" t="n">
        <f aca="false">C5*前提条件!$C$20</f>
        <v>12</v>
      </c>
      <c r="D11" s="21" t="n">
        <f aca="false">D5*前提条件!$C$20</f>
        <v>12</v>
      </c>
      <c r="E11" s="21" t="n">
        <f aca="false">E5*前提条件!$C$20</f>
        <v>18</v>
      </c>
      <c r="F11" s="21" t="n">
        <f aca="false">F5*前提条件!$C$20</f>
        <v>18</v>
      </c>
      <c r="G11" s="21" t="n">
        <f aca="false">G5*前提条件!$C$20</f>
        <v>18</v>
      </c>
      <c r="H11" s="21" t="n">
        <f aca="false">H5*前提条件!$C$20</f>
        <v>24</v>
      </c>
      <c r="I11" s="21" t="n">
        <f aca="false">I5*前提条件!$C$20</f>
        <v>24</v>
      </c>
      <c r="J11" s="21" t="n">
        <f aca="false">J5*前提条件!$C$20</f>
        <v>24</v>
      </c>
      <c r="K11" s="21" t="n">
        <f aca="false">K5*前提条件!$C$20</f>
        <v>24</v>
      </c>
      <c r="L11" s="21" t="n">
        <f aca="false">L5*前提条件!$C$20</f>
        <v>24</v>
      </c>
      <c r="M11" s="21" t="n">
        <f aca="false">M5*前提条件!$C$20</f>
        <v>24</v>
      </c>
      <c r="N11" s="22" t="n">
        <f aca="false">SUM(B11:M11)</f>
        <v>234</v>
      </c>
    </row>
    <row r="12" customFormat="false" ht="15" hidden="false" customHeight="false" outlineLevel="0" collapsed="false">
      <c r="A12" s="15" t="s">
        <v>64</v>
      </c>
      <c r="B12" s="21" t="n">
        <f aca="false">B6*前提条件!$C$21</f>
        <v>0</v>
      </c>
      <c r="C12" s="21" t="n">
        <f aca="false">C6*前提条件!$C$21</f>
        <v>9.6</v>
      </c>
      <c r="D12" s="21" t="n">
        <f aca="false">D6*前提条件!$C$21</f>
        <v>9.6</v>
      </c>
      <c r="E12" s="21" t="n">
        <f aca="false">E6*前提条件!$C$21</f>
        <v>9.6</v>
      </c>
      <c r="F12" s="21" t="n">
        <f aca="false">F6*前提条件!$C$21</f>
        <v>14.4</v>
      </c>
      <c r="G12" s="21" t="n">
        <f aca="false">G6*前提条件!$C$21</f>
        <v>14.4</v>
      </c>
      <c r="H12" s="21" t="n">
        <f aca="false">H6*前提条件!$C$21</f>
        <v>14.4</v>
      </c>
      <c r="I12" s="21" t="n">
        <f aca="false">I6*前提条件!$C$21</f>
        <v>19.2</v>
      </c>
      <c r="J12" s="21" t="n">
        <f aca="false">J6*前提条件!$C$21</f>
        <v>19.2</v>
      </c>
      <c r="K12" s="21" t="n">
        <f aca="false">K6*前提条件!$C$21</f>
        <v>19.2</v>
      </c>
      <c r="L12" s="21" t="n">
        <f aca="false">L6*前提条件!$C$21</f>
        <v>19.2</v>
      </c>
      <c r="M12" s="21" t="n">
        <f aca="false">M6*前提条件!$C$21</f>
        <v>19.2</v>
      </c>
      <c r="N12" s="22" t="n">
        <f aca="false">SUM(B12:M12)</f>
        <v>168</v>
      </c>
    </row>
    <row r="13" customFormat="false" ht="15" hidden="false" customHeight="false" outlineLevel="0" collapsed="false">
      <c r="A13" s="15" t="s">
        <v>65</v>
      </c>
      <c r="B13" s="21" t="n">
        <f aca="false">B8*前提条件!$C$22</f>
        <v>0</v>
      </c>
      <c r="C13" s="21" t="n">
        <f aca="false">C8*前提条件!$C$22</f>
        <v>0</v>
      </c>
      <c r="D13" s="21" t="n">
        <f aca="false">D8*前提条件!$C$22</f>
        <v>0.72</v>
      </c>
      <c r="E13" s="21" t="n">
        <f aca="false">E8*前提条件!$C$22</f>
        <v>1.404</v>
      </c>
      <c r="F13" s="21" t="n">
        <f aca="false">F8*前提条件!$C$22</f>
        <v>2.0538</v>
      </c>
      <c r="G13" s="21" t="n">
        <f aca="false">G8*前提条件!$C$22</f>
        <v>3.03111</v>
      </c>
      <c r="H13" s="21" t="n">
        <f aca="false">H8*前提条件!$C$22</f>
        <v>3.9595545</v>
      </c>
      <c r="I13" s="21" t="n">
        <f aca="false">I8*前提条件!$C$22</f>
        <v>4.841576775</v>
      </c>
      <c r="J13" s="21" t="n">
        <f aca="false">J8*前提条件!$C$22</f>
        <v>6.03949793625</v>
      </c>
      <c r="K13" s="21" t="n">
        <f aca="false">K8*前提条件!$C$22</f>
        <v>7.1775230394375</v>
      </c>
      <c r="L13" s="21" t="n">
        <f aca="false">L8*前提条件!$C$22</f>
        <v>8.25864688746562</v>
      </c>
      <c r="M13" s="21" t="n">
        <f aca="false">M8*前提条件!$C$22</f>
        <v>9.28571454309234</v>
      </c>
      <c r="N13" s="22" t="n">
        <f aca="false">SUM(B13:M13)</f>
        <v>46.7714236812455</v>
      </c>
    </row>
    <row r="14" customFormat="false" ht="15" hidden="false" customHeight="false" outlineLevel="0" collapsed="false">
      <c r="A14" s="15" t="s">
        <v>66</v>
      </c>
      <c r="B14" s="21" t="n">
        <f aca="false">B9*前提条件!$C$23</f>
        <v>0</v>
      </c>
      <c r="C14" s="21" t="n">
        <f aca="false">C9*前提条件!$C$23</f>
        <v>0</v>
      </c>
      <c r="D14" s="21" t="n">
        <f aca="false">D9*前提条件!$C$23</f>
        <v>0</v>
      </c>
      <c r="E14" s="21" t="n">
        <f aca="false">E9*前提条件!$C$23</f>
        <v>0</v>
      </c>
      <c r="F14" s="21" t="n">
        <f aca="false">F9*前提条件!$C$23</f>
        <v>0</v>
      </c>
      <c r="G14" s="21" t="n">
        <f aca="false">G9*前提条件!$C$23</f>
        <v>0</v>
      </c>
      <c r="H14" s="21" t="n">
        <f aca="false">H9*前提条件!$C$23</f>
        <v>0</v>
      </c>
      <c r="I14" s="21" t="n">
        <f aca="false">I9*前提条件!$C$23</f>
        <v>0</v>
      </c>
      <c r="J14" s="21" t="n">
        <f aca="false">J9*前提条件!$C$23</f>
        <v>0</v>
      </c>
      <c r="K14" s="21" t="n">
        <f aca="false">K9*前提条件!$C$23</f>
        <v>0</v>
      </c>
      <c r="L14" s="21" t="n">
        <f aca="false">L9*前提条件!$C$23</f>
        <v>0</v>
      </c>
      <c r="M14" s="21" t="n">
        <f aca="false">M9*前提条件!$C$23</f>
        <v>0</v>
      </c>
      <c r="N14" s="22" t="n">
        <f aca="false">SUM(B14:M14)</f>
        <v>0</v>
      </c>
    </row>
    <row r="15" customFormat="false" ht="15" hidden="false" customHeight="false" outlineLevel="0" collapsed="false">
      <c r="A15" s="23" t="s">
        <v>67</v>
      </c>
      <c r="B15" s="24" t="n">
        <f aca="false">SUM(B11:B14)</f>
        <v>12</v>
      </c>
      <c r="C15" s="24" t="n">
        <f aca="false">SUM(C11:C14)</f>
        <v>21.6</v>
      </c>
      <c r="D15" s="24" t="n">
        <f aca="false">SUM(D11:D14)</f>
        <v>22.32</v>
      </c>
      <c r="E15" s="24" t="n">
        <f aca="false">SUM(E11:E14)</f>
        <v>29.004</v>
      </c>
      <c r="F15" s="24" t="n">
        <f aca="false">SUM(F11:F14)</f>
        <v>34.4538</v>
      </c>
      <c r="G15" s="24" t="n">
        <f aca="false">SUM(G11:G14)</f>
        <v>35.43111</v>
      </c>
      <c r="H15" s="24" t="n">
        <f aca="false">SUM(H11:H14)</f>
        <v>42.3595545</v>
      </c>
      <c r="I15" s="24" t="n">
        <f aca="false">SUM(I11:I14)</f>
        <v>48.041576775</v>
      </c>
      <c r="J15" s="24" t="n">
        <f aca="false">SUM(J11:J14)</f>
        <v>49.23949793625</v>
      </c>
      <c r="K15" s="24" t="n">
        <f aca="false">SUM(K11:K14)</f>
        <v>50.3775230394375</v>
      </c>
      <c r="L15" s="24" t="n">
        <f aca="false">SUM(L11:L14)</f>
        <v>51.4586468874656</v>
      </c>
      <c r="M15" s="24" t="n">
        <f aca="false">SUM(M11:M14)</f>
        <v>52.4857145430923</v>
      </c>
      <c r="N15" s="22" t="n">
        <f aca="false">SUM(B15:M15)</f>
        <v>448.771423681246</v>
      </c>
    </row>
    <row r="16" customFormat="false" ht="15" hidden="false" customHeight="false" outlineLevel="0" collapsed="false">
      <c r="A16" s="20" t="s">
        <v>68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5" t="s">
        <v>69</v>
      </c>
      <c r="B17" s="25" t="n">
        <f aca="false">前提条件!$C$26+前提条件!$C$27</f>
        <v>10</v>
      </c>
      <c r="C17" s="25" t="n">
        <f aca="false">前提条件!$C$26+前提条件!$C$27</f>
        <v>10</v>
      </c>
      <c r="D17" s="25" t="n">
        <f aca="false">前提条件!$C$26+前提条件!$C$27</f>
        <v>10</v>
      </c>
      <c r="E17" s="25" t="n">
        <f aca="false">前提条件!$C$26+前提条件!$C$27</f>
        <v>10</v>
      </c>
      <c r="F17" s="25" t="n">
        <f aca="false">前提条件!$C$26+前提条件!$C$27</f>
        <v>10</v>
      </c>
      <c r="G17" s="25" t="n">
        <f aca="false">前提条件!$C$26+前提条件!$C$27</f>
        <v>10</v>
      </c>
      <c r="H17" s="25" t="n">
        <f aca="false">前提条件!$C$26+前提条件!$C$27</f>
        <v>10</v>
      </c>
      <c r="I17" s="25" t="n">
        <f aca="false">前提条件!$C$26+前提条件!$C$27</f>
        <v>10</v>
      </c>
      <c r="J17" s="25" t="n">
        <f aca="false">前提条件!$C$26+前提条件!$C$27</f>
        <v>10</v>
      </c>
      <c r="K17" s="25" t="n">
        <f aca="false">前提条件!$C$26+前提条件!$C$27</f>
        <v>10</v>
      </c>
      <c r="L17" s="25" t="n">
        <f aca="false">前提条件!$C$26+前提条件!$C$27</f>
        <v>10</v>
      </c>
      <c r="M17" s="25" t="n">
        <f aca="false">前提条件!$C$26+前提条件!$C$27</f>
        <v>10</v>
      </c>
      <c r="N17" s="22" t="n">
        <f aca="false">SUM(B17:M17)</f>
        <v>120</v>
      </c>
    </row>
    <row r="18" customFormat="false" ht="15" hidden="false" customHeight="false" outlineLevel="0" collapsed="false">
      <c r="A18" s="15" t="s">
        <v>70</v>
      </c>
      <c r="B18" s="21" t="n">
        <f aca="false">B15*前提条件!$C$28</f>
        <v>0.6</v>
      </c>
      <c r="C18" s="21" t="n">
        <f aca="false">C15*前提条件!$C$28</f>
        <v>1.08</v>
      </c>
      <c r="D18" s="21" t="n">
        <f aca="false">D15*前提条件!$C$28</f>
        <v>1.116</v>
      </c>
      <c r="E18" s="21" t="n">
        <f aca="false">E15*前提条件!$C$28</f>
        <v>1.4502</v>
      </c>
      <c r="F18" s="21" t="n">
        <f aca="false">F15*前提条件!$C$28</f>
        <v>1.72269</v>
      </c>
      <c r="G18" s="21" t="n">
        <f aca="false">G15*前提条件!$C$28</f>
        <v>1.7715555</v>
      </c>
      <c r="H18" s="21" t="n">
        <f aca="false">H15*前提条件!$C$28</f>
        <v>2.117977725</v>
      </c>
      <c r="I18" s="21" t="n">
        <f aca="false">I15*前提条件!$C$28</f>
        <v>2.40207883875</v>
      </c>
      <c r="J18" s="21" t="n">
        <f aca="false">J15*前提条件!$C$28</f>
        <v>2.4619748968125</v>
      </c>
      <c r="K18" s="21" t="n">
        <f aca="false">K15*前提条件!$C$28</f>
        <v>2.51887615197188</v>
      </c>
      <c r="L18" s="21" t="n">
        <f aca="false">L15*前提条件!$C$28</f>
        <v>2.57293234437328</v>
      </c>
      <c r="M18" s="21" t="n">
        <f aca="false">M15*前提条件!$C$28</f>
        <v>2.62428572715462</v>
      </c>
      <c r="N18" s="22" t="n">
        <f aca="false">SUM(B18:M18)</f>
        <v>22.4385711840623</v>
      </c>
    </row>
    <row r="19" customFormat="false" ht="15" hidden="false" customHeight="false" outlineLevel="0" collapsed="false">
      <c r="A19" s="23" t="s">
        <v>71</v>
      </c>
      <c r="B19" s="24" t="n">
        <f aca="false">B17+B18</f>
        <v>10.6</v>
      </c>
      <c r="C19" s="24" t="n">
        <f aca="false">C17+C18</f>
        <v>11.08</v>
      </c>
      <c r="D19" s="24" t="n">
        <f aca="false">D17+D18</f>
        <v>11.116</v>
      </c>
      <c r="E19" s="24" t="n">
        <f aca="false">E17+E18</f>
        <v>11.4502</v>
      </c>
      <c r="F19" s="24" t="n">
        <f aca="false">F17+F18</f>
        <v>11.72269</v>
      </c>
      <c r="G19" s="24" t="n">
        <f aca="false">G17+G18</f>
        <v>11.7715555</v>
      </c>
      <c r="H19" s="24" t="n">
        <f aca="false">H17+H18</f>
        <v>12.117977725</v>
      </c>
      <c r="I19" s="24" t="n">
        <f aca="false">I17+I18</f>
        <v>12.40207883875</v>
      </c>
      <c r="J19" s="24" t="n">
        <f aca="false">J17+J18</f>
        <v>12.4619748968125</v>
      </c>
      <c r="K19" s="24" t="n">
        <f aca="false">K17+K18</f>
        <v>12.5188761519719</v>
      </c>
      <c r="L19" s="24" t="n">
        <f aca="false">L17+L18</f>
        <v>12.5729323443733</v>
      </c>
      <c r="M19" s="24" t="n">
        <f aca="false">M17+M18</f>
        <v>12.6242857271546</v>
      </c>
      <c r="N19" s="22" t="n">
        <f aca="false">SUM(B19:M19)</f>
        <v>142.438571184062</v>
      </c>
    </row>
    <row r="20" customFormat="false" ht="15" hidden="false" customHeight="false" outlineLevel="0" collapsed="false">
      <c r="A20" s="23" t="s">
        <v>72</v>
      </c>
      <c r="B20" s="24" t="n">
        <f aca="false">B15-B19</f>
        <v>1.4</v>
      </c>
      <c r="C20" s="24" t="n">
        <f aca="false">C15-C19</f>
        <v>10.52</v>
      </c>
      <c r="D20" s="24" t="n">
        <f aca="false">D15-D19</f>
        <v>11.204</v>
      </c>
      <c r="E20" s="24" t="n">
        <f aca="false">E15-E19</f>
        <v>17.5538</v>
      </c>
      <c r="F20" s="24" t="n">
        <f aca="false">F15-F19</f>
        <v>22.73111</v>
      </c>
      <c r="G20" s="24" t="n">
        <f aca="false">G15-G19</f>
        <v>23.6595545</v>
      </c>
      <c r="H20" s="24" t="n">
        <f aca="false">H15-H19</f>
        <v>30.241576775</v>
      </c>
      <c r="I20" s="24" t="n">
        <f aca="false">I15-I19</f>
        <v>35.63949793625</v>
      </c>
      <c r="J20" s="24" t="n">
        <f aca="false">J15-J19</f>
        <v>36.7775230394375</v>
      </c>
      <c r="K20" s="24" t="n">
        <f aca="false">K15-K19</f>
        <v>37.8586468874656</v>
      </c>
      <c r="L20" s="24" t="n">
        <f aca="false">L15-L19</f>
        <v>38.8857145430924</v>
      </c>
      <c r="M20" s="24" t="n">
        <f aca="false">M15-M19</f>
        <v>39.8614288159377</v>
      </c>
      <c r="N20" s="22" t="n">
        <f aca="false">SUM(B20:M20)</f>
        <v>306.332852497183</v>
      </c>
    </row>
    <row r="21" customFormat="false" ht="15" hidden="false" customHeight="false" outlineLevel="0" collapsed="false">
      <c r="A21" s="23" t="s">
        <v>73</v>
      </c>
      <c r="B21" s="21" t="n">
        <f aca="false">B20</f>
        <v>1.4</v>
      </c>
      <c r="C21" s="21" t="n">
        <f aca="false">B21+C20</f>
        <v>11.92</v>
      </c>
      <c r="D21" s="21" t="n">
        <f aca="false">C21+D20</f>
        <v>23.124</v>
      </c>
      <c r="E21" s="21" t="n">
        <f aca="false">D21+E20</f>
        <v>40.6778</v>
      </c>
      <c r="F21" s="21" t="n">
        <f aca="false">E21+F20</f>
        <v>63.40891</v>
      </c>
      <c r="G21" s="21" t="n">
        <f aca="false">F21+G20</f>
        <v>87.0684645</v>
      </c>
      <c r="H21" s="21" t="n">
        <f aca="false">G21+H20</f>
        <v>117.310041275</v>
      </c>
      <c r="I21" s="21" t="n">
        <f aca="false">H21+I20</f>
        <v>152.94953921125</v>
      </c>
      <c r="J21" s="21" t="n">
        <f aca="false">I21+J20</f>
        <v>189.727062250688</v>
      </c>
      <c r="K21" s="21" t="n">
        <f aca="false">J21+K20</f>
        <v>227.585709138153</v>
      </c>
      <c r="L21" s="21" t="n">
        <f aca="false">K21+L20</f>
        <v>266.471423681246</v>
      </c>
      <c r="M21" s="21" t="n">
        <f aca="false">L21+M20</f>
        <v>306.332852497183</v>
      </c>
      <c r="N21" s="22" t="n">
        <f aca="false">M21</f>
        <v>306.332852497183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9.5"/>
    <col collapsed="false" customWidth="true" hidden="false" outlineLevel="0" max="14" min="14" style="0" width="11"/>
  </cols>
  <sheetData>
    <row r="1" customFormat="false" ht="19.4" hidden="false" customHeight="false" outlineLevel="0" collapsed="false">
      <c r="A1" s="14" t="s">
        <v>74</v>
      </c>
    </row>
    <row r="3" customFormat="false" ht="15" hidden="false" customHeight="false" outlineLevel="0" collapsed="false">
      <c r="A3" s="15" t="s">
        <v>42</v>
      </c>
      <c r="B3" s="16" t="s">
        <v>43</v>
      </c>
      <c r="C3" s="16" t="s">
        <v>44</v>
      </c>
      <c r="D3" s="16" t="s">
        <v>45</v>
      </c>
      <c r="E3" s="16" t="s">
        <v>46</v>
      </c>
      <c r="F3" s="16" t="s">
        <v>47</v>
      </c>
      <c r="G3" s="16" t="s">
        <v>48</v>
      </c>
      <c r="H3" s="16" t="s">
        <v>49</v>
      </c>
      <c r="I3" s="16" t="s">
        <v>50</v>
      </c>
      <c r="J3" s="16" t="s">
        <v>51</v>
      </c>
      <c r="K3" s="16" t="s">
        <v>52</v>
      </c>
      <c r="L3" s="16" t="s">
        <v>53</v>
      </c>
      <c r="M3" s="16" t="s">
        <v>54</v>
      </c>
      <c r="N3" s="5" t="s">
        <v>55</v>
      </c>
    </row>
    <row r="4" customFormat="false" ht="15" hidden="false" customHeight="false" outlineLevel="0" collapsed="false">
      <c r="A4" s="15" t="s">
        <v>56</v>
      </c>
      <c r="B4" s="17" t="n">
        <f aca="false">前提条件!$D$7*前提条件!$C$15</f>
        <v>2</v>
      </c>
      <c r="C4" s="17" t="n">
        <f aca="false">前提条件!$D$7*前提条件!$C$15</f>
        <v>2</v>
      </c>
      <c r="D4" s="17" t="n">
        <f aca="false">前提条件!$D$7*前提条件!$C$15</f>
        <v>2</v>
      </c>
      <c r="E4" s="17" t="n">
        <f aca="false">前提条件!$D$7*前提条件!$C$16</f>
        <v>3</v>
      </c>
      <c r="F4" s="17" t="n">
        <f aca="false">前提条件!$D$7*前提条件!$C$16</f>
        <v>3</v>
      </c>
      <c r="G4" s="17" t="n">
        <f aca="false">前提条件!$D$7*前提条件!$C$16</f>
        <v>3</v>
      </c>
      <c r="H4" s="17" t="n">
        <f aca="false">前提条件!$D$7*前提条件!$C$17</f>
        <v>4</v>
      </c>
      <c r="I4" s="17" t="n">
        <f aca="false">前提条件!$D$7*前提条件!$C$17</f>
        <v>4</v>
      </c>
      <c r="J4" s="17" t="n">
        <f aca="false">前提条件!$D$7*前提条件!$C$17</f>
        <v>4</v>
      </c>
      <c r="K4" s="17" t="n">
        <f aca="false">前提条件!$D$7*前提条件!$C$17</f>
        <v>4</v>
      </c>
      <c r="L4" s="17" t="n">
        <f aca="false">前提条件!$D$7*前提条件!$C$17</f>
        <v>4</v>
      </c>
      <c r="M4" s="17" t="n">
        <f aca="false">前提条件!$D$7*前提条件!$C$17</f>
        <v>4</v>
      </c>
      <c r="N4" s="18" t="n">
        <f aca="false">SUM(B4:M4)</f>
        <v>39</v>
      </c>
    </row>
    <row r="5" customFormat="false" ht="15" hidden="false" customHeight="false" outlineLevel="0" collapsed="false">
      <c r="A5" s="15" t="s">
        <v>57</v>
      </c>
      <c r="B5" s="18" t="n">
        <f aca="false">B4*前提条件!$D$8</f>
        <v>0.8</v>
      </c>
      <c r="C5" s="18" t="n">
        <f aca="false">C4*前提条件!$D$8</f>
        <v>0.8</v>
      </c>
      <c r="D5" s="18" t="n">
        <f aca="false">D4*前提条件!$D$8</f>
        <v>0.8</v>
      </c>
      <c r="E5" s="18" t="n">
        <f aca="false">E4*前提条件!$D$8</f>
        <v>1.2</v>
      </c>
      <c r="F5" s="18" t="n">
        <f aca="false">F4*前提条件!$D$8</f>
        <v>1.2</v>
      </c>
      <c r="G5" s="18" t="n">
        <f aca="false">G4*前提条件!$D$8</f>
        <v>1.2</v>
      </c>
      <c r="H5" s="18" t="n">
        <f aca="false">H4*前提条件!$D$8</f>
        <v>1.6</v>
      </c>
      <c r="I5" s="18" t="n">
        <f aca="false">I4*前提条件!$D$8</f>
        <v>1.6</v>
      </c>
      <c r="J5" s="18" t="n">
        <f aca="false">J4*前提条件!$D$8</f>
        <v>1.6</v>
      </c>
      <c r="K5" s="18" t="n">
        <f aca="false">K4*前提条件!$D$8</f>
        <v>1.6</v>
      </c>
      <c r="L5" s="18" t="n">
        <f aca="false">L4*前提条件!$D$8</f>
        <v>1.6</v>
      </c>
      <c r="M5" s="18" t="n">
        <f aca="false">M4*前提条件!$D$8</f>
        <v>1.6</v>
      </c>
      <c r="N5" s="19" t="n">
        <f aca="false">SUM(B5:M5)</f>
        <v>15.6</v>
      </c>
    </row>
    <row r="6" customFormat="false" ht="15" hidden="false" customHeight="false" outlineLevel="0" collapsed="false">
      <c r="A6" s="15" t="s">
        <v>58</v>
      </c>
      <c r="B6" s="18" t="n">
        <v>0</v>
      </c>
      <c r="C6" s="18" t="n">
        <f aca="false">B5*前提条件!$D$9</f>
        <v>0.4</v>
      </c>
      <c r="D6" s="18" t="n">
        <f aca="false">C5*前提条件!$D$9</f>
        <v>0.4</v>
      </c>
      <c r="E6" s="18" t="n">
        <f aca="false">D5*前提条件!$D$9</f>
        <v>0.4</v>
      </c>
      <c r="F6" s="18" t="n">
        <f aca="false">E5*前提条件!$D$9</f>
        <v>0.6</v>
      </c>
      <c r="G6" s="18" t="n">
        <f aca="false">F5*前提条件!$D$9</f>
        <v>0.6</v>
      </c>
      <c r="H6" s="18" t="n">
        <f aca="false">G5*前提条件!$D$9</f>
        <v>0.6</v>
      </c>
      <c r="I6" s="18" t="n">
        <f aca="false">H5*前提条件!$D$9</f>
        <v>0.8</v>
      </c>
      <c r="J6" s="18" t="n">
        <f aca="false">I5*前提条件!$D$9</f>
        <v>0.8</v>
      </c>
      <c r="K6" s="18" t="n">
        <f aca="false">J5*前提条件!$D$9</f>
        <v>0.8</v>
      </c>
      <c r="L6" s="18" t="n">
        <f aca="false">K5*前提条件!$D$9</f>
        <v>0.8</v>
      </c>
      <c r="M6" s="18" t="n">
        <f aca="false">L5*前提条件!$D$9</f>
        <v>0.8</v>
      </c>
      <c r="N6" s="19" t="n">
        <f aca="false">SUM(B6:M6)</f>
        <v>7</v>
      </c>
    </row>
    <row r="7" customFormat="false" ht="15" hidden="false" customHeight="false" outlineLevel="0" collapsed="false">
      <c r="A7" s="15" t="s">
        <v>59</v>
      </c>
      <c r="B7" s="18" t="n">
        <v>0</v>
      </c>
      <c r="C7" s="18" t="n">
        <f aca="false">B6*前提条件!$D$10</f>
        <v>0</v>
      </c>
      <c r="D7" s="18" t="n">
        <f aca="false">C6*前提条件!$D$10</f>
        <v>0.16</v>
      </c>
      <c r="E7" s="18" t="n">
        <f aca="false">D6*前提条件!$D$10</f>
        <v>0.16</v>
      </c>
      <c r="F7" s="18" t="n">
        <f aca="false">E6*前提条件!$D$10</f>
        <v>0.16</v>
      </c>
      <c r="G7" s="18" t="n">
        <f aca="false">F6*前提条件!$D$10</f>
        <v>0.24</v>
      </c>
      <c r="H7" s="18" t="n">
        <f aca="false">G6*前提条件!$D$10</f>
        <v>0.24</v>
      </c>
      <c r="I7" s="18" t="n">
        <f aca="false">H6*前提条件!$D$10</f>
        <v>0.24</v>
      </c>
      <c r="J7" s="18" t="n">
        <f aca="false">I6*前提条件!$D$10</f>
        <v>0.32</v>
      </c>
      <c r="K7" s="18" t="n">
        <f aca="false">J6*前提条件!$D$10</f>
        <v>0.32</v>
      </c>
      <c r="L7" s="18" t="n">
        <f aca="false">K6*前提条件!$D$10</f>
        <v>0.32</v>
      </c>
      <c r="M7" s="18" t="n">
        <f aca="false">L6*前提条件!$D$10</f>
        <v>0.32</v>
      </c>
      <c r="N7" s="19" t="n">
        <f aca="false">SUM(B7:M7)</f>
        <v>2.48</v>
      </c>
    </row>
    <row r="8" customFormat="false" ht="15" hidden="false" customHeight="false" outlineLevel="0" collapsed="false">
      <c r="A8" s="15" t="s">
        <v>60</v>
      </c>
      <c r="B8" s="18" t="n">
        <f aca="false">B7</f>
        <v>0</v>
      </c>
      <c r="C8" s="18" t="n">
        <f aca="false">B8*(1-前提条件!$D$11)+C7</f>
        <v>0</v>
      </c>
      <c r="D8" s="18" t="n">
        <f aca="false">C8*(1-前提条件!$D$11)+D7</f>
        <v>0.16</v>
      </c>
      <c r="E8" s="18" t="n">
        <f aca="false">D8*(1-前提条件!$D$11)+E7</f>
        <v>0.3152</v>
      </c>
      <c r="F8" s="18" t="n">
        <f aca="false">E8*(1-前提条件!$D$11)+F7</f>
        <v>0.465744</v>
      </c>
      <c r="G8" s="18" t="n">
        <f aca="false">F8*(1-前提条件!$D$11)+G7</f>
        <v>0.69177168</v>
      </c>
      <c r="H8" s="18" t="n">
        <f aca="false">G8*(1-前提条件!$D$11)+H7</f>
        <v>0.9110185296</v>
      </c>
      <c r="I8" s="18" t="n">
        <f aca="false">H8*(1-前提条件!$D$11)+I7</f>
        <v>1.123687973712</v>
      </c>
      <c r="J8" s="18" t="n">
        <f aca="false">I8*(1-前提条件!$D$11)+J7</f>
        <v>1.40997733450064</v>
      </c>
      <c r="K8" s="18" t="n">
        <f aca="false">J8*(1-前提条件!$D$11)+K7</f>
        <v>1.68767801446562</v>
      </c>
      <c r="L8" s="18" t="n">
        <f aca="false">K8*(1-前提条件!$D$11)+L7</f>
        <v>1.95704767403165</v>
      </c>
      <c r="M8" s="18" t="n">
        <f aca="false">L8*(1-前提条件!$D$11)+M7</f>
        <v>2.2183362438107</v>
      </c>
      <c r="N8" s="19" t="n">
        <f aca="false">M8</f>
        <v>2.2183362438107</v>
      </c>
    </row>
    <row r="9" customFormat="false" ht="15" hidden="false" customHeight="false" outlineLevel="0" collapsed="false">
      <c r="A9" s="15" t="s">
        <v>61</v>
      </c>
      <c r="B9" s="18" t="n">
        <v>0</v>
      </c>
      <c r="C9" s="18" t="n">
        <v>0</v>
      </c>
      <c r="D9" s="17" t="n">
        <f aca="false">前提条件!$D$12</f>
        <v>1</v>
      </c>
      <c r="E9" s="18" t="n">
        <v>0</v>
      </c>
      <c r="F9" s="18" t="n">
        <v>0</v>
      </c>
      <c r="G9" s="17" t="n">
        <f aca="false">前提条件!$D$12</f>
        <v>1</v>
      </c>
      <c r="H9" s="18" t="n">
        <v>0</v>
      </c>
      <c r="I9" s="18" t="n">
        <v>0</v>
      </c>
      <c r="J9" s="17" t="n">
        <f aca="false">前提条件!$D$12</f>
        <v>1</v>
      </c>
      <c r="K9" s="18" t="n">
        <v>0</v>
      </c>
      <c r="L9" s="18" t="n">
        <v>0</v>
      </c>
      <c r="M9" s="17" t="n">
        <f aca="false">前提条件!$D$12</f>
        <v>1</v>
      </c>
      <c r="N9" s="19" t="n">
        <f aca="false">SUM(B9:M9)</f>
        <v>4</v>
      </c>
    </row>
    <row r="10" customFormat="false" ht="15" hidden="false" customHeight="false" outlineLevel="0" collapsed="false">
      <c r="A10" s="20" t="s">
        <v>62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5" t="s">
        <v>63</v>
      </c>
      <c r="B11" s="21" t="n">
        <f aca="false">B5*前提条件!$C$20</f>
        <v>32</v>
      </c>
      <c r="C11" s="21" t="n">
        <f aca="false">C5*前提条件!$C$20</f>
        <v>32</v>
      </c>
      <c r="D11" s="21" t="n">
        <f aca="false">D5*前提条件!$C$20</f>
        <v>32</v>
      </c>
      <c r="E11" s="21" t="n">
        <f aca="false">E5*前提条件!$C$20</f>
        <v>48</v>
      </c>
      <c r="F11" s="21" t="n">
        <f aca="false">F5*前提条件!$C$20</f>
        <v>48</v>
      </c>
      <c r="G11" s="21" t="n">
        <f aca="false">G5*前提条件!$C$20</f>
        <v>48</v>
      </c>
      <c r="H11" s="21" t="n">
        <f aca="false">H5*前提条件!$C$20</f>
        <v>64</v>
      </c>
      <c r="I11" s="21" t="n">
        <f aca="false">I5*前提条件!$C$20</f>
        <v>64</v>
      </c>
      <c r="J11" s="21" t="n">
        <f aca="false">J5*前提条件!$C$20</f>
        <v>64</v>
      </c>
      <c r="K11" s="21" t="n">
        <f aca="false">K5*前提条件!$C$20</f>
        <v>64</v>
      </c>
      <c r="L11" s="21" t="n">
        <f aca="false">L5*前提条件!$C$20</f>
        <v>64</v>
      </c>
      <c r="M11" s="21" t="n">
        <f aca="false">M5*前提条件!$C$20</f>
        <v>64</v>
      </c>
      <c r="N11" s="22" t="n">
        <f aca="false">SUM(B11:M11)</f>
        <v>624</v>
      </c>
    </row>
    <row r="12" customFormat="false" ht="15" hidden="false" customHeight="false" outlineLevel="0" collapsed="false">
      <c r="A12" s="15" t="s">
        <v>64</v>
      </c>
      <c r="B12" s="21" t="n">
        <f aca="false">B6*前提条件!$C$21</f>
        <v>0</v>
      </c>
      <c r="C12" s="21" t="n">
        <f aca="false">C6*前提条件!$C$21</f>
        <v>32</v>
      </c>
      <c r="D12" s="21" t="n">
        <f aca="false">D6*前提条件!$C$21</f>
        <v>32</v>
      </c>
      <c r="E12" s="21" t="n">
        <f aca="false">E6*前提条件!$C$21</f>
        <v>32</v>
      </c>
      <c r="F12" s="21" t="n">
        <f aca="false">F6*前提条件!$C$21</f>
        <v>48</v>
      </c>
      <c r="G12" s="21" t="n">
        <f aca="false">G6*前提条件!$C$21</f>
        <v>48</v>
      </c>
      <c r="H12" s="21" t="n">
        <f aca="false">H6*前提条件!$C$21</f>
        <v>48</v>
      </c>
      <c r="I12" s="21" t="n">
        <f aca="false">I6*前提条件!$C$21</f>
        <v>64</v>
      </c>
      <c r="J12" s="21" t="n">
        <f aca="false">J6*前提条件!$C$21</f>
        <v>64</v>
      </c>
      <c r="K12" s="21" t="n">
        <f aca="false">K6*前提条件!$C$21</f>
        <v>64</v>
      </c>
      <c r="L12" s="21" t="n">
        <f aca="false">L6*前提条件!$C$21</f>
        <v>64</v>
      </c>
      <c r="M12" s="21" t="n">
        <f aca="false">M6*前提条件!$C$21</f>
        <v>64</v>
      </c>
      <c r="N12" s="22" t="n">
        <f aca="false">SUM(B12:M12)</f>
        <v>560</v>
      </c>
    </row>
    <row r="13" customFormat="false" ht="15" hidden="false" customHeight="false" outlineLevel="0" collapsed="false">
      <c r="A13" s="15" t="s">
        <v>65</v>
      </c>
      <c r="B13" s="21" t="n">
        <f aca="false">B8*前提条件!$C$22</f>
        <v>0</v>
      </c>
      <c r="C13" s="21" t="n">
        <f aca="false">C8*前提条件!$C$22</f>
        <v>0</v>
      </c>
      <c r="D13" s="21" t="n">
        <f aca="false">D8*前提条件!$C$22</f>
        <v>3.2</v>
      </c>
      <c r="E13" s="21" t="n">
        <f aca="false">E8*前提条件!$C$22</f>
        <v>6.304</v>
      </c>
      <c r="F13" s="21" t="n">
        <f aca="false">F8*前提条件!$C$22</f>
        <v>9.31488</v>
      </c>
      <c r="G13" s="21" t="n">
        <f aca="false">G8*前提条件!$C$22</f>
        <v>13.8354336</v>
      </c>
      <c r="H13" s="21" t="n">
        <f aca="false">H8*前提条件!$C$22</f>
        <v>18.220370592</v>
      </c>
      <c r="I13" s="21" t="n">
        <f aca="false">I8*前提条件!$C$22</f>
        <v>22.47375947424</v>
      </c>
      <c r="J13" s="21" t="n">
        <f aca="false">J8*前提条件!$C$22</f>
        <v>28.1995466900128</v>
      </c>
      <c r="K13" s="21" t="n">
        <f aca="false">K8*前提条件!$C$22</f>
        <v>33.7535602893124</v>
      </c>
      <c r="L13" s="21" t="n">
        <f aca="false">L8*前提条件!$C$22</f>
        <v>39.140953480633</v>
      </c>
      <c r="M13" s="21" t="n">
        <f aca="false">M8*前提条件!$C$22</f>
        <v>44.3667248762141</v>
      </c>
      <c r="N13" s="22" t="n">
        <f aca="false">SUM(B13:M13)</f>
        <v>218.809229002412</v>
      </c>
    </row>
    <row r="14" customFormat="false" ht="15" hidden="false" customHeight="false" outlineLevel="0" collapsed="false">
      <c r="A14" s="15" t="s">
        <v>66</v>
      </c>
      <c r="B14" s="21" t="n">
        <f aca="false">B9*前提条件!$C$23</f>
        <v>0</v>
      </c>
      <c r="C14" s="21" t="n">
        <f aca="false">C9*前提条件!$C$23</f>
        <v>0</v>
      </c>
      <c r="D14" s="21" t="n">
        <f aca="false">D9*前提条件!$C$23</f>
        <v>25</v>
      </c>
      <c r="E14" s="21" t="n">
        <f aca="false">E9*前提条件!$C$23</f>
        <v>0</v>
      </c>
      <c r="F14" s="21" t="n">
        <f aca="false">F9*前提条件!$C$23</f>
        <v>0</v>
      </c>
      <c r="G14" s="21" t="n">
        <f aca="false">G9*前提条件!$C$23</f>
        <v>25</v>
      </c>
      <c r="H14" s="21" t="n">
        <f aca="false">H9*前提条件!$C$23</f>
        <v>0</v>
      </c>
      <c r="I14" s="21" t="n">
        <f aca="false">I9*前提条件!$C$23</f>
        <v>0</v>
      </c>
      <c r="J14" s="21" t="n">
        <f aca="false">J9*前提条件!$C$23</f>
        <v>25</v>
      </c>
      <c r="K14" s="21" t="n">
        <f aca="false">K9*前提条件!$C$23</f>
        <v>0</v>
      </c>
      <c r="L14" s="21" t="n">
        <f aca="false">L9*前提条件!$C$23</f>
        <v>0</v>
      </c>
      <c r="M14" s="21" t="n">
        <f aca="false">M9*前提条件!$C$23</f>
        <v>25</v>
      </c>
      <c r="N14" s="22" t="n">
        <f aca="false">SUM(B14:M14)</f>
        <v>100</v>
      </c>
    </row>
    <row r="15" customFormat="false" ht="15" hidden="false" customHeight="false" outlineLevel="0" collapsed="false">
      <c r="A15" s="23" t="s">
        <v>67</v>
      </c>
      <c r="B15" s="24" t="n">
        <f aca="false">SUM(B11:B14)</f>
        <v>32</v>
      </c>
      <c r="C15" s="24" t="n">
        <f aca="false">SUM(C11:C14)</f>
        <v>64</v>
      </c>
      <c r="D15" s="24" t="n">
        <f aca="false">SUM(D11:D14)</f>
        <v>92.2</v>
      </c>
      <c r="E15" s="24" t="n">
        <f aca="false">SUM(E11:E14)</f>
        <v>86.304</v>
      </c>
      <c r="F15" s="24" t="n">
        <f aca="false">SUM(F11:F14)</f>
        <v>105.31488</v>
      </c>
      <c r="G15" s="24" t="n">
        <f aca="false">SUM(G11:G14)</f>
        <v>134.8354336</v>
      </c>
      <c r="H15" s="24" t="n">
        <f aca="false">SUM(H11:H14)</f>
        <v>130.220370592</v>
      </c>
      <c r="I15" s="24" t="n">
        <f aca="false">SUM(I11:I14)</f>
        <v>150.47375947424</v>
      </c>
      <c r="J15" s="24" t="n">
        <f aca="false">SUM(J11:J14)</f>
        <v>181.199546690013</v>
      </c>
      <c r="K15" s="24" t="n">
        <f aca="false">SUM(K11:K14)</f>
        <v>161.753560289312</v>
      </c>
      <c r="L15" s="24" t="n">
        <f aca="false">SUM(L11:L14)</f>
        <v>167.140953480633</v>
      </c>
      <c r="M15" s="24" t="n">
        <f aca="false">SUM(M11:M14)</f>
        <v>197.366724876214</v>
      </c>
      <c r="N15" s="22" t="n">
        <f aca="false">SUM(B15:M15)</f>
        <v>1502.80922900241</v>
      </c>
    </row>
    <row r="16" customFormat="false" ht="15" hidden="false" customHeight="false" outlineLevel="0" collapsed="false">
      <c r="A16" s="20" t="s">
        <v>68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5" t="s">
        <v>69</v>
      </c>
      <c r="B17" s="25" t="n">
        <f aca="false">前提条件!$C$26+前提条件!$C$27</f>
        <v>10</v>
      </c>
      <c r="C17" s="25" t="n">
        <f aca="false">前提条件!$C$26+前提条件!$C$27</f>
        <v>10</v>
      </c>
      <c r="D17" s="25" t="n">
        <f aca="false">前提条件!$C$26+前提条件!$C$27</f>
        <v>10</v>
      </c>
      <c r="E17" s="25" t="n">
        <f aca="false">前提条件!$C$26+前提条件!$C$27</f>
        <v>10</v>
      </c>
      <c r="F17" s="25" t="n">
        <f aca="false">前提条件!$C$26+前提条件!$C$27</f>
        <v>10</v>
      </c>
      <c r="G17" s="25" t="n">
        <f aca="false">前提条件!$C$26+前提条件!$C$27</f>
        <v>10</v>
      </c>
      <c r="H17" s="25" t="n">
        <f aca="false">前提条件!$C$26+前提条件!$C$27</f>
        <v>10</v>
      </c>
      <c r="I17" s="25" t="n">
        <f aca="false">前提条件!$C$26+前提条件!$C$27</f>
        <v>10</v>
      </c>
      <c r="J17" s="25" t="n">
        <f aca="false">前提条件!$C$26+前提条件!$C$27</f>
        <v>10</v>
      </c>
      <c r="K17" s="25" t="n">
        <f aca="false">前提条件!$C$26+前提条件!$C$27</f>
        <v>10</v>
      </c>
      <c r="L17" s="25" t="n">
        <f aca="false">前提条件!$C$26+前提条件!$C$27</f>
        <v>10</v>
      </c>
      <c r="M17" s="25" t="n">
        <f aca="false">前提条件!$C$26+前提条件!$C$27</f>
        <v>10</v>
      </c>
      <c r="N17" s="22" t="n">
        <f aca="false">SUM(B17:M17)</f>
        <v>120</v>
      </c>
    </row>
    <row r="18" customFormat="false" ht="15" hidden="false" customHeight="false" outlineLevel="0" collapsed="false">
      <c r="A18" s="15" t="s">
        <v>70</v>
      </c>
      <c r="B18" s="21" t="n">
        <f aca="false">B15*前提条件!$C$28</f>
        <v>1.6</v>
      </c>
      <c r="C18" s="21" t="n">
        <f aca="false">C15*前提条件!$C$28</f>
        <v>3.2</v>
      </c>
      <c r="D18" s="21" t="n">
        <f aca="false">D15*前提条件!$C$28</f>
        <v>4.61</v>
      </c>
      <c r="E18" s="21" t="n">
        <f aca="false">E15*前提条件!$C$28</f>
        <v>4.3152</v>
      </c>
      <c r="F18" s="21" t="n">
        <f aca="false">F15*前提条件!$C$28</f>
        <v>5.265744</v>
      </c>
      <c r="G18" s="21" t="n">
        <f aca="false">G15*前提条件!$C$28</f>
        <v>6.74177168</v>
      </c>
      <c r="H18" s="21" t="n">
        <f aca="false">H15*前提条件!$C$28</f>
        <v>6.5110185296</v>
      </c>
      <c r="I18" s="21" t="n">
        <f aca="false">I15*前提条件!$C$28</f>
        <v>7.523687973712</v>
      </c>
      <c r="J18" s="21" t="n">
        <f aca="false">J15*前提条件!$C$28</f>
        <v>9.05997733450064</v>
      </c>
      <c r="K18" s="21" t="n">
        <f aca="false">K15*前提条件!$C$28</f>
        <v>8.08767801446562</v>
      </c>
      <c r="L18" s="21" t="n">
        <f aca="false">L15*前提条件!$C$28</f>
        <v>8.35704767403165</v>
      </c>
      <c r="M18" s="21" t="n">
        <f aca="false">M15*前提条件!$C$28</f>
        <v>9.8683362438107</v>
      </c>
      <c r="N18" s="22" t="n">
        <f aca="false">SUM(B18:M18)</f>
        <v>75.1404614501206</v>
      </c>
    </row>
    <row r="19" customFormat="false" ht="15" hidden="false" customHeight="false" outlineLevel="0" collapsed="false">
      <c r="A19" s="23" t="s">
        <v>71</v>
      </c>
      <c r="B19" s="24" t="n">
        <f aca="false">B17+B18</f>
        <v>11.6</v>
      </c>
      <c r="C19" s="24" t="n">
        <f aca="false">C17+C18</f>
        <v>13.2</v>
      </c>
      <c r="D19" s="24" t="n">
        <f aca="false">D17+D18</f>
        <v>14.61</v>
      </c>
      <c r="E19" s="24" t="n">
        <f aca="false">E17+E18</f>
        <v>14.3152</v>
      </c>
      <c r="F19" s="24" t="n">
        <f aca="false">F17+F18</f>
        <v>15.265744</v>
      </c>
      <c r="G19" s="24" t="n">
        <f aca="false">G17+G18</f>
        <v>16.74177168</v>
      </c>
      <c r="H19" s="24" t="n">
        <f aca="false">H17+H18</f>
        <v>16.5110185296</v>
      </c>
      <c r="I19" s="24" t="n">
        <f aca="false">I17+I18</f>
        <v>17.523687973712</v>
      </c>
      <c r="J19" s="24" t="n">
        <f aca="false">J17+J18</f>
        <v>19.0599773345006</v>
      </c>
      <c r="K19" s="24" t="n">
        <f aca="false">K17+K18</f>
        <v>18.0876780144656</v>
      </c>
      <c r="L19" s="24" t="n">
        <f aca="false">L17+L18</f>
        <v>18.3570476740317</v>
      </c>
      <c r="M19" s="24" t="n">
        <f aca="false">M17+M18</f>
        <v>19.8683362438107</v>
      </c>
      <c r="N19" s="22" t="n">
        <f aca="false">SUM(B19:M19)</f>
        <v>195.140461450121</v>
      </c>
    </row>
    <row r="20" customFormat="false" ht="15" hidden="false" customHeight="false" outlineLevel="0" collapsed="false">
      <c r="A20" s="23" t="s">
        <v>72</v>
      </c>
      <c r="B20" s="24" t="n">
        <f aca="false">B15-B19</f>
        <v>20.4</v>
      </c>
      <c r="C20" s="24" t="n">
        <f aca="false">C15-C19</f>
        <v>50.8</v>
      </c>
      <c r="D20" s="24" t="n">
        <f aca="false">D15-D19</f>
        <v>77.59</v>
      </c>
      <c r="E20" s="24" t="n">
        <f aca="false">E15-E19</f>
        <v>71.9888</v>
      </c>
      <c r="F20" s="24" t="n">
        <f aca="false">F15-F19</f>
        <v>90.049136</v>
      </c>
      <c r="G20" s="24" t="n">
        <f aca="false">G15-G19</f>
        <v>118.09366192</v>
      </c>
      <c r="H20" s="24" t="n">
        <f aca="false">H15-H19</f>
        <v>113.7093520624</v>
      </c>
      <c r="I20" s="24" t="n">
        <f aca="false">I15-I19</f>
        <v>132.950071500528</v>
      </c>
      <c r="J20" s="24" t="n">
        <f aca="false">J15-J19</f>
        <v>162.139569355512</v>
      </c>
      <c r="K20" s="24" t="n">
        <f aca="false">K15-K19</f>
        <v>143.665882274847</v>
      </c>
      <c r="L20" s="24" t="n">
        <f aca="false">L15-L19</f>
        <v>148.783905806601</v>
      </c>
      <c r="M20" s="24" t="n">
        <f aca="false">M15-M19</f>
        <v>177.498388632403</v>
      </c>
      <c r="N20" s="22" t="n">
        <f aca="false">SUM(B20:M20)</f>
        <v>1307.66876755229</v>
      </c>
    </row>
    <row r="21" customFormat="false" ht="15" hidden="false" customHeight="false" outlineLevel="0" collapsed="false">
      <c r="A21" s="23" t="s">
        <v>73</v>
      </c>
      <c r="B21" s="21" t="n">
        <f aca="false">B20</f>
        <v>20.4</v>
      </c>
      <c r="C21" s="21" t="n">
        <f aca="false">B21+C20</f>
        <v>71.2</v>
      </c>
      <c r="D21" s="21" t="n">
        <f aca="false">C21+D20</f>
        <v>148.79</v>
      </c>
      <c r="E21" s="21" t="n">
        <f aca="false">D21+E20</f>
        <v>220.7788</v>
      </c>
      <c r="F21" s="21" t="n">
        <f aca="false">E21+F20</f>
        <v>310.827936</v>
      </c>
      <c r="G21" s="21" t="n">
        <f aca="false">F21+G20</f>
        <v>428.92159792</v>
      </c>
      <c r="H21" s="21" t="n">
        <f aca="false">G21+H20</f>
        <v>542.6309499824</v>
      </c>
      <c r="I21" s="21" t="n">
        <f aca="false">H21+I20</f>
        <v>675.581021482928</v>
      </c>
      <c r="J21" s="21" t="n">
        <f aca="false">I21+J20</f>
        <v>837.72059083844</v>
      </c>
      <c r="K21" s="21" t="n">
        <f aca="false">J21+K20</f>
        <v>981.386473113287</v>
      </c>
      <c r="L21" s="21" t="n">
        <f aca="false">K21+L20</f>
        <v>1130.17037891989</v>
      </c>
      <c r="M21" s="21" t="n">
        <f aca="false">L21+M20</f>
        <v>1307.66876755229</v>
      </c>
      <c r="N21" s="22" t="n">
        <f aca="false">M21</f>
        <v>1307.66876755229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9.5"/>
    <col collapsed="false" customWidth="true" hidden="false" outlineLevel="0" max="14" min="14" style="0" width="11"/>
  </cols>
  <sheetData>
    <row r="1" customFormat="false" ht="19.4" hidden="false" customHeight="false" outlineLevel="0" collapsed="false">
      <c r="A1" s="14" t="s">
        <v>75</v>
      </c>
    </row>
    <row r="3" customFormat="false" ht="15" hidden="false" customHeight="false" outlineLevel="0" collapsed="false">
      <c r="A3" s="15" t="s">
        <v>42</v>
      </c>
      <c r="B3" s="16" t="s">
        <v>43</v>
      </c>
      <c r="C3" s="16" t="s">
        <v>44</v>
      </c>
      <c r="D3" s="16" t="s">
        <v>45</v>
      </c>
      <c r="E3" s="16" t="s">
        <v>46</v>
      </c>
      <c r="F3" s="16" t="s">
        <v>47</v>
      </c>
      <c r="G3" s="16" t="s">
        <v>48</v>
      </c>
      <c r="H3" s="16" t="s">
        <v>49</v>
      </c>
      <c r="I3" s="16" t="s">
        <v>50</v>
      </c>
      <c r="J3" s="16" t="s">
        <v>51</v>
      </c>
      <c r="K3" s="16" t="s">
        <v>52</v>
      </c>
      <c r="L3" s="16" t="s">
        <v>53</v>
      </c>
      <c r="M3" s="16" t="s">
        <v>54</v>
      </c>
      <c r="N3" s="5" t="s">
        <v>55</v>
      </c>
    </row>
    <row r="4" customFormat="false" ht="15" hidden="false" customHeight="false" outlineLevel="0" collapsed="false">
      <c r="A4" s="15" t="s">
        <v>56</v>
      </c>
      <c r="B4" s="17" t="n">
        <f aca="false">前提条件!$E$7*前提条件!$C$15</f>
        <v>3</v>
      </c>
      <c r="C4" s="17" t="n">
        <f aca="false">前提条件!$E$7*前提条件!$C$15</f>
        <v>3</v>
      </c>
      <c r="D4" s="17" t="n">
        <f aca="false">前提条件!$E$7*前提条件!$C$15</f>
        <v>3</v>
      </c>
      <c r="E4" s="17" t="n">
        <f aca="false">前提条件!$E$7*前提条件!$C$16</f>
        <v>4.5</v>
      </c>
      <c r="F4" s="17" t="n">
        <f aca="false">前提条件!$E$7*前提条件!$C$16</f>
        <v>4.5</v>
      </c>
      <c r="G4" s="17" t="n">
        <f aca="false">前提条件!$E$7*前提条件!$C$16</f>
        <v>4.5</v>
      </c>
      <c r="H4" s="17" t="n">
        <f aca="false">前提条件!$E$7*前提条件!$C$17</f>
        <v>6</v>
      </c>
      <c r="I4" s="17" t="n">
        <f aca="false">前提条件!$E$7*前提条件!$C$17</f>
        <v>6</v>
      </c>
      <c r="J4" s="17" t="n">
        <f aca="false">前提条件!$E$7*前提条件!$C$17</f>
        <v>6</v>
      </c>
      <c r="K4" s="17" t="n">
        <f aca="false">前提条件!$E$7*前提条件!$C$17</f>
        <v>6</v>
      </c>
      <c r="L4" s="17" t="n">
        <f aca="false">前提条件!$E$7*前提条件!$C$17</f>
        <v>6</v>
      </c>
      <c r="M4" s="17" t="n">
        <f aca="false">前提条件!$E$7*前提条件!$C$17</f>
        <v>6</v>
      </c>
      <c r="N4" s="18" t="n">
        <f aca="false">SUM(B4:M4)</f>
        <v>58.5</v>
      </c>
    </row>
    <row r="5" customFormat="false" ht="15" hidden="false" customHeight="false" outlineLevel="0" collapsed="false">
      <c r="A5" s="15" t="s">
        <v>57</v>
      </c>
      <c r="B5" s="18" t="n">
        <f aca="false">B4*前提条件!$E$8</f>
        <v>1.5</v>
      </c>
      <c r="C5" s="18" t="n">
        <f aca="false">C4*前提条件!$E$8</f>
        <v>1.5</v>
      </c>
      <c r="D5" s="18" t="n">
        <f aca="false">D4*前提条件!$E$8</f>
        <v>1.5</v>
      </c>
      <c r="E5" s="18" t="n">
        <f aca="false">E4*前提条件!$E$8</f>
        <v>2.25</v>
      </c>
      <c r="F5" s="18" t="n">
        <f aca="false">F4*前提条件!$E$8</f>
        <v>2.25</v>
      </c>
      <c r="G5" s="18" t="n">
        <f aca="false">G4*前提条件!$E$8</f>
        <v>2.25</v>
      </c>
      <c r="H5" s="18" t="n">
        <f aca="false">H4*前提条件!$E$8</f>
        <v>3</v>
      </c>
      <c r="I5" s="18" t="n">
        <f aca="false">I4*前提条件!$E$8</f>
        <v>3</v>
      </c>
      <c r="J5" s="18" t="n">
        <f aca="false">J4*前提条件!$E$8</f>
        <v>3</v>
      </c>
      <c r="K5" s="18" t="n">
        <f aca="false">K4*前提条件!$E$8</f>
        <v>3</v>
      </c>
      <c r="L5" s="18" t="n">
        <f aca="false">L4*前提条件!$E$8</f>
        <v>3</v>
      </c>
      <c r="M5" s="18" t="n">
        <f aca="false">M4*前提条件!$E$8</f>
        <v>3</v>
      </c>
      <c r="N5" s="19" t="n">
        <f aca="false">SUM(B5:M5)</f>
        <v>29.25</v>
      </c>
    </row>
    <row r="6" customFormat="false" ht="15" hidden="false" customHeight="false" outlineLevel="0" collapsed="false">
      <c r="A6" s="15" t="s">
        <v>58</v>
      </c>
      <c r="B6" s="18" t="n">
        <v>0</v>
      </c>
      <c r="C6" s="18" t="n">
        <f aca="false">B5*前提条件!$E$9</f>
        <v>0.9</v>
      </c>
      <c r="D6" s="18" t="n">
        <f aca="false">C5*前提条件!$E$9</f>
        <v>0.9</v>
      </c>
      <c r="E6" s="18" t="n">
        <f aca="false">D5*前提条件!$E$9</f>
        <v>0.9</v>
      </c>
      <c r="F6" s="18" t="n">
        <f aca="false">E5*前提条件!$E$9</f>
        <v>1.35</v>
      </c>
      <c r="G6" s="18" t="n">
        <f aca="false">F5*前提条件!$E$9</f>
        <v>1.35</v>
      </c>
      <c r="H6" s="18" t="n">
        <f aca="false">G5*前提条件!$E$9</f>
        <v>1.35</v>
      </c>
      <c r="I6" s="18" t="n">
        <f aca="false">H5*前提条件!$E$9</f>
        <v>1.8</v>
      </c>
      <c r="J6" s="18" t="n">
        <f aca="false">I5*前提条件!$E$9</f>
        <v>1.8</v>
      </c>
      <c r="K6" s="18" t="n">
        <f aca="false">J5*前提条件!$E$9</f>
        <v>1.8</v>
      </c>
      <c r="L6" s="18" t="n">
        <f aca="false">K5*前提条件!$E$9</f>
        <v>1.8</v>
      </c>
      <c r="M6" s="18" t="n">
        <f aca="false">L5*前提条件!$E$9</f>
        <v>1.8</v>
      </c>
      <c r="N6" s="19" t="n">
        <f aca="false">SUM(B6:M6)</f>
        <v>15.75</v>
      </c>
    </row>
    <row r="7" customFormat="false" ht="15" hidden="false" customHeight="false" outlineLevel="0" collapsed="false">
      <c r="A7" s="15" t="s">
        <v>59</v>
      </c>
      <c r="B7" s="18" t="n">
        <v>0</v>
      </c>
      <c r="C7" s="18" t="n">
        <f aca="false">B6*前提条件!$E$10</f>
        <v>0</v>
      </c>
      <c r="D7" s="18" t="n">
        <f aca="false">C6*前提条件!$E$10</f>
        <v>0.45</v>
      </c>
      <c r="E7" s="18" t="n">
        <f aca="false">D6*前提条件!$E$10</f>
        <v>0.45</v>
      </c>
      <c r="F7" s="18" t="n">
        <f aca="false">E6*前提条件!$E$10</f>
        <v>0.45</v>
      </c>
      <c r="G7" s="18" t="n">
        <f aca="false">F6*前提条件!$E$10</f>
        <v>0.675</v>
      </c>
      <c r="H7" s="18" t="n">
        <f aca="false">G6*前提条件!$E$10</f>
        <v>0.675</v>
      </c>
      <c r="I7" s="18" t="n">
        <f aca="false">H6*前提条件!$E$10</f>
        <v>0.675</v>
      </c>
      <c r="J7" s="18" t="n">
        <f aca="false">I6*前提条件!$E$10</f>
        <v>0.9</v>
      </c>
      <c r="K7" s="18" t="n">
        <f aca="false">J6*前提条件!$E$10</f>
        <v>0.9</v>
      </c>
      <c r="L7" s="18" t="n">
        <f aca="false">K6*前提条件!$E$10</f>
        <v>0.9</v>
      </c>
      <c r="M7" s="18" t="n">
        <f aca="false">L6*前提条件!$E$10</f>
        <v>0.9</v>
      </c>
      <c r="N7" s="19" t="n">
        <f aca="false">SUM(B7:M7)</f>
        <v>6.975</v>
      </c>
    </row>
    <row r="8" customFormat="false" ht="15" hidden="false" customHeight="false" outlineLevel="0" collapsed="false">
      <c r="A8" s="15" t="s">
        <v>60</v>
      </c>
      <c r="B8" s="18" t="n">
        <f aca="false">B7</f>
        <v>0</v>
      </c>
      <c r="C8" s="18" t="n">
        <f aca="false">B8*(1-前提条件!$E$11)+C7</f>
        <v>0</v>
      </c>
      <c r="D8" s="18" t="n">
        <f aca="false">C8*(1-前提条件!$E$11)+D7</f>
        <v>0.45</v>
      </c>
      <c r="E8" s="18" t="n">
        <f aca="false">D8*(1-前提条件!$E$11)+E7</f>
        <v>0.891</v>
      </c>
      <c r="F8" s="18" t="n">
        <f aca="false">E8*(1-前提条件!$E$11)+F7</f>
        <v>1.32318</v>
      </c>
      <c r="G8" s="18" t="n">
        <f aca="false">F8*(1-前提条件!$E$11)+G7</f>
        <v>1.9717164</v>
      </c>
      <c r="H8" s="18" t="n">
        <f aca="false">G8*(1-前提条件!$E$11)+H7</f>
        <v>2.607282072</v>
      </c>
      <c r="I8" s="18" t="n">
        <f aca="false">H8*(1-前提条件!$E$11)+I7</f>
        <v>3.23013643056</v>
      </c>
      <c r="J8" s="18" t="n">
        <f aca="false">I8*(1-前提条件!$E$11)+J7</f>
        <v>4.0655337019488</v>
      </c>
      <c r="K8" s="18" t="n">
        <f aca="false">J8*(1-前提条件!$E$11)+K7</f>
        <v>4.88422302790982</v>
      </c>
      <c r="L8" s="18" t="n">
        <f aca="false">K8*(1-前提条件!$E$11)+L7</f>
        <v>5.68653856735163</v>
      </c>
      <c r="M8" s="18" t="n">
        <f aca="false">L8*(1-前提条件!$E$11)+M7</f>
        <v>6.47280779600459</v>
      </c>
      <c r="N8" s="19" t="n">
        <f aca="false">M8</f>
        <v>6.47280779600459</v>
      </c>
    </row>
    <row r="9" customFormat="false" ht="15" hidden="false" customHeight="false" outlineLevel="0" collapsed="false">
      <c r="A9" s="15" t="s">
        <v>61</v>
      </c>
      <c r="B9" s="18" t="n">
        <v>0</v>
      </c>
      <c r="C9" s="18" t="n">
        <v>0</v>
      </c>
      <c r="D9" s="17" t="n">
        <f aca="false">前提条件!$E$12</f>
        <v>2</v>
      </c>
      <c r="E9" s="18" t="n">
        <v>0</v>
      </c>
      <c r="F9" s="18" t="n">
        <v>0</v>
      </c>
      <c r="G9" s="17" t="n">
        <f aca="false">前提条件!$E$12</f>
        <v>2</v>
      </c>
      <c r="H9" s="18" t="n">
        <v>0</v>
      </c>
      <c r="I9" s="18" t="n">
        <v>0</v>
      </c>
      <c r="J9" s="17" t="n">
        <f aca="false">前提条件!$E$12</f>
        <v>2</v>
      </c>
      <c r="K9" s="18" t="n">
        <v>0</v>
      </c>
      <c r="L9" s="18" t="n">
        <v>0</v>
      </c>
      <c r="M9" s="17" t="n">
        <f aca="false">前提条件!$E$12</f>
        <v>2</v>
      </c>
      <c r="N9" s="19" t="n">
        <f aca="false">SUM(B9:M9)</f>
        <v>8</v>
      </c>
    </row>
    <row r="10" customFormat="false" ht="15" hidden="false" customHeight="false" outlineLevel="0" collapsed="false">
      <c r="A10" s="20" t="s">
        <v>62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5" t="s">
        <v>63</v>
      </c>
      <c r="B11" s="21" t="n">
        <f aca="false">B5*前提条件!$C$20</f>
        <v>60</v>
      </c>
      <c r="C11" s="21" t="n">
        <f aca="false">C5*前提条件!$C$20</f>
        <v>60</v>
      </c>
      <c r="D11" s="21" t="n">
        <f aca="false">D5*前提条件!$C$20</f>
        <v>60</v>
      </c>
      <c r="E11" s="21" t="n">
        <f aca="false">E5*前提条件!$C$20</f>
        <v>90</v>
      </c>
      <c r="F11" s="21" t="n">
        <f aca="false">F5*前提条件!$C$20</f>
        <v>90</v>
      </c>
      <c r="G11" s="21" t="n">
        <f aca="false">G5*前提条件!$C$20</f>
        <v>90</v>
      </c>
      <c r="H11" s="21" t="n">
        <f aca="false">H5*前提条件!$C$20</f>
        <v>120</v>
      </c>
      <c r="I11" s="21" t="n">
        <f aca="false">I5*前提条件!$C$20</f>
        <v>120</v>
      </c>
      <c r="J11" s="21" t="n">
        <f aca="false">J5*前提条件!$C$20</f>
        <v>120</v>
      </c>
      <c r="K11" s="21" t="n">
        <f aca="false">K5*前提条件!$C$20</f>
        <v>120</v>
      </c>
      <c r="L11" s="21" t="n">
        <f aca="false">L5*前提条件!$C$20</f>
        <v>120</v>
      </c>
      <c r="M11" s="21" t="n">
        <f aca="false">M5*前提条件!$C$20</f>
        <v>120</v>
      </c>
      <c r="N11" s="22" t="n">
        <f aca="false">SUM(B11:M11)</f>
        <v>1170</v>
      </c>
    </row>
    <row r="12" customFormat="false" ht="15" hidden="false" customHeight="false" outlineLevel="0" collapsed="false">
      <c r="A12" s="15" t="s">
        <v>64</v>
      </c>
      <c r="B12" s="21" t="n">
        <f aca="false">B6*前提条件!$C$21</f>
        <v>0</v>
      </c>
      <c r="C12" s="21" t="n">
        <f aca="false">C6*前提条件!$C$21</f>
        <v>72</v>
      </c>
      <c r="D12" s="21" t="n">
        <f aca="false">D6*前提条件!$C$21</f>
        <v>72</v>
      </c>
      <c r="E12" s="21" t="n">
        <f aca="false">E6*前提条件!$C$21</f>
        <v>72</v>
      </c>
      <c r="F12" s="21" t="n">
        <f aca="false">F6*前提条件!$C$21</f>
        <v>108</v>
      </c>
      <c r="G12" s="21" t="n">
        <f aca="false">G6*前提条件!$C$21</f>
        <v>108</v>
      </c>
      <c r="H12" s="21" t="n">
        <f aca="false">H6*前提条件!$C$21</f>
        <v>108</v>
      </c>
      <c r="I12" s="21" t="n">
        <f aca="false">I6*前提条件!$C$21</f>
        <v>144</v>
      </c>
      <c r="J12" s="21" t="n">
        <f aca="false">J6*前提条件!$C$21</f>
        <v>144</v>
      </c>
      <c r="K12" s="21" t="n">
        <f aca="false">K6*前提条件!$C$21</f>
        <v>144</v>
      </c>
      <c r="L12" s="21" t="n">
        <f aca="false">L6*前提条件!$C$21</f>
        <v>144</v>
      </c>
      <c r="M12" s="21" t="n">
        <f aca="false">M6*前提条件!$C$21</f>
        <v>144</v>
      </c>
      <c r="N12" s="22" t="n">
        <f aca="false">SUM(B12:M12)</f>
        <v>1260</v>
      </c>
    </row>
    <row r="13" customFormat="false" ht="15" hidden="false" customHeight="false" outlineLevel="0" collapsed="false">
      <c r="A13" s="15" t="s">
        <v>65</v>
      </c>
      <c r="B13" s="21" t="n">
        <f aca="false">B8*前提条件!$C$22</f>
        <v>0</v>
      </c>
      <c r="C13" s="21" t="n">
        <f aca="false">C8*前提条件!$C$22</f>
        <v>0</v>
      </c>
      <c r="D13" s="21" t="n">
        <f aca="false">D8*前提条件!$C$22</f>
        <v>9</v>
      </c>
      <c r="E13" s="21" t="n">
        <f aca="false">E8*前提条件!$C$22</f>
        <v>17.82</v>
      </c>
      <c r="F13" s="21" t="n">
        <f aca="false">F8*前提条件!$C$22</f>
        <v>26.4636</v>
      </c>
      <c r="G13" s="21" t="n">
        <f aca="false">G8*前提条件!$C$22</f>
        <v>39.434328</v>
      </c>
      <c r="H13" s="21" t="n">
        <f aca="false">H8*前提条件!$C$22</f>
        <v>52.14564144</v>
      </c>
      <c r="I13" s="21" t="n">
        <f aca="false">I8*前提条件!$C$22</f>
        <v>64.6027286112</v>
      </c>
      <c r="J13" s="21" t="n">
        <f aca="false">J8*前提条件!$C$22</f>
        <v>81.310674038976</v>
      </c>
      <c r="K13" s="21" t="n">
        <f aca="false">K8*前提条件!$C$22</f>
        <v>97.6844605581965</v>
      </c>
      <c r="L13" s="21" t="n">
        <f aca="false">L8*前提条件!$C$22</f>
        <v>113.730771347033</v>
      </c>
      <c r="M13" s="21" t="n">
        <f aca="false">M8*前提条件!$C$22</f>
        <v>129.456155920092</v>
      </c>
      <c r="N13" s="22" t="n">
        <f aca="false">SUM(B13:M13)</f>
        <v>631.648359915497</v>
      </c>
    </row>
    <row r="14" customFormat="false" ht="15" hidden="false" customHeight="false" outlineLevel="0" collapsed="false">
      <c r="A14" s="15" t="s">
        <v>66</v>
      </c>
      <c r="B14" s="21" t="n">
        <f aca="false">B9*前提条件!$C$23</f>
        <v>0</v>
      </c>
      <c r="C14" s="21" t="n">
        <f aca="false">C9*前提条件!$C$23</f>
        <v>0</v>
      </c>
      <c r="D14" s="21" t="n">
        <f aca="false">D9*前提条件!$C$23</f>
        <v>50</v>
      </c>
      <c r="E14" s="21" t="n">
        <f aca="false">E9*前提条件!$C$23</f>
        <v>0</v>
      </c>
      <c r="F14" s="21" t="n">
        <f aca="false">F9*前提条件!$C$23</f>
        <v>0</v>
      </c>
      <c r="G14" s="21" t="n">
        <f aca="false">G9*前提条件!$C$23</f>
        <v>50</v>
      </c>
      <c r="H14" s="21" t="n">
        <f aca="false">H9*前提条件!$C$23</f>
        <v>0</v>
      </c>
      <c r="I14" s="21" t="n">
        <f aca="false">I9*前提条件!$C$23</f>
        <v>0</v>
      </c>
      <c r="J14" s="21" t="n">
        <f aca="false">J9*前提条件!$C$23</f>
        <v>50</v>
      </c>
      <c r="K14" s="21" t="n">
        <f aca="false">K9*前提条件!$C$23</f>
        <v>0</v>
      </c>
      <c r="L14" s="21" t="n">
        <f aca="false">L9*前提条件!$C$23</f>
        <v>0</v>
      </c>
      <c r="M14" s="21" t="n">
        <f aca="false">M9*前提条件!$C$23</f>
        <v>50</v>
      </c>
      <c r="N14" s="22" t="n">
        <f aca="false">SUM(B14:M14)</f>
        <v>200</v>
      </c>
    </row>
    <row r="15" customFormat="false" ht="15" hidden="false" customHeight="false" outlineLevel="0" collapsed="false">
      <c r="A15" s="23" t="s">
        <v>67</v>
      </c>
      <c r="B15" s="24" t="n">
        <f aca="false">SUM(B11:B14)</f>
        <v>60</v>
      </c>
      <c r="C15" s="24" t="n">
        <f aca="false">SUM(C11:C14)</f>
        <v>132</v>
      </c>
      <c r="D15" s="24" t="n">
        <f aca="false">SUM(D11:D14)</f>
        <v>191</v>
      </c>
      <c r="E15" s="24" t="n">
        <f aca="false">SUM(E11:E14)</f>
        <v>179.82</v>
      </c>
      <c r="F15" s="24" t="n">
        <f aca="false">SUM(F11:F14)</f>
        <v>224.4636</v>
      </c>
      <c r="G15" s="24" t="n">
        <f aca="false">SUM(G11:G14)</f>
        <v>287.434328</v>
      </c>
      <c r="H15" s="24" t="n">
        <f aca="false">SUM(H11:H14)</f>
        <v>280.14564144</v>
      </c>
      <c r="I15" s="24" t="n">
        <f aca="false">SUM(I11:I14)</f>
        <v>328.6027286112</v>
      </c>
      <c r="J15" s="24" t="n">
        <f aca="false">SUM(J11:J14)</f>
        <v>395.310674038976</v>
      </c>
      <c r="K15" s="24" t="n">
        <f aca="false">SUM(K11:K14)</f>
        <v>361.684460558196</v>
      </c>
      <c r="L15" s="24" t="n">
        <f aca="false">SUM(L11:L14)</f>
        <v>377.730771347033</v>
      </c>
      <c r="M15" s="24" t="n">
        <f aca="false">SUM(M11:M14)</f>
        <v>443.456155920092</v>
      </c>
      <c r="N15" s="22" t="n">
        <f aca="false">SUM(B15:M15)</f>
        <v>3261.6483599155</v>
      </c>
    </row>
    <row r="16" customFormat="false" ht="15" hidden="false" customHeight="false" outlineLevel="0" collapsed="false">
      <c r="A16" s="20" t="s">
        <v>68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5" t="s">
        <v>69</v>
      </c>
      <c r="B17" s="25" t="n">
        <f aca="false">前提条件!$C$26+前提条件!$C$27</f>
        <v>10</v>
      </c>
      <c r="C17" s="25" t="n">
        <f aca="false">前提条件!$C$26+前提条件!$C$27</f>
        <v>10</v>
      </c>
      <c r="D17" s="25" t="n">
        <f aca="false">前提条件!$C$26+前提条件!$C$27</f>
        <v>10</v>
      </c>
      <c r="E17" s="25" t="n">
        <f aca="false">前提条件!$C$26+前提条件!$C$27</f>
        <v>10</v>
      </c>
      <c r="F17" s="25" t="n">
        <f aca="false">前提条件!$C$26+前提条件!$C$27</f>
        <v>10</v>
      </c>
      <c r="G17" s="25" t="n">
        <f aca="false">前提条件!$C$26+前提条件!$C$27</f>
        <v>10</v>
      </c>
      <c r="H17" s="25" t="n">
        <f aca="false">前提条件!$C$26+前提条件!$C$27</f>
        <v>10</v>
      </c>
      <c r="I17" s="25" t="n">
        <f aca="false">前提条件!$C$26+前提条件!$C$27</f>
        <v>10</v>
      </c>
      <c r="J17" s="25" t="n">
        <f aca="false">前提条件!$C$26+前提条件!$C$27</f>
        <v>10</v>
      </c>
      <c r="K17" s="25" t="n">
        <f aca="false">前提条件!$C$26+前提条件!$C$27</f>
        <v>10</v>
      </c>
      <c r="L17" s="25" t="n">
        <f aca="false">前提条件!$C$26+前提条件!$C$27</f>
        <v>10</v>
      </c>
      <c r="M17" s="25" t="n">
        <f aca="false">前提条件!$C$26+前提条件!$C$27</f>
        <v>10</v>
      </c>
      <c r="N17" s="22" t="n">
        <f aca="false">SUM(B17:M17)</f>
        <v>120</v>
      </c>
    </row>
    <row r="18" customFormat="false" ht="15" hidden="false" customHeight="false" outlineLevel="0" collapsed="false">
      <c r="A18" s="15" t="s">
        <v>70</v>
      </c>
      <c r="B18" s="21" t="n">
        <f aca="false">B15*前提条件!$C$28</f>
        <v>3</v>
      </c>
      <c r="C18" s="21" t="n">
        <f aca="false">C15*前提条件!$C$28</f>
        <v>6.6</v>
      </c>
      <c r="D18" s="21" t="n">
        <f aca="false">D15*前提条件!$C$28</f>
        <v>9.55</v>
      </c>
      <c r="E18" s="21" t="n">
        <f aca="false">E15*前提条件!$C$28</f>
        <v>8.991</v>
      </c>
      <c r="F18" s="21" t="n">
        <f aca="false">F15*前提条件!$C$28</f>
        <v>11.22318</v>
      </c>
      <c r="G18" s="21" t="n">
        <f aca="false">G15*前提条件!$C$28</f>
        <v>14.3717164</v>
      </c>
      <c r="H18" s="21" t="n">
        <f aca="false">H15*前提条件!$C$28</f>
        <v>14.007282072</v>
      </c>
      <c r="I18" s="21" t="n">
        <f aca="false">I15*前提条件!$C$28</f>
        <v>16.43013643056</v>
      </c>
      <c r="J18" s="21" t="n">
        <f aca="false">J15*前提条件!$C$28</f>
        <v>19.7655337019488</v>
      </c>
      <c r="K18" s="21" t="n">
        <f aca="false">K15*前提条件!$C$28</f>
        <v>18.0842230279098</v>
      </c>
      <c r="L18" s="21" t="n">
        <f aca="false">L15*前提条件!$C$28</f>
        <v>18.8865385673516</v>
      </c>
      <c r="M18" s="21" t="n">
        <f aca="false">M15*前提条件!$C$28</f>
        <v>22.1728077960046</v>
      </c>
      <c r="N18" s="22" t="n">
        <f aca="false">SUM(B18:M18)</f>
        <v>163.082417995775</v>
      </c>
    </row>
    <row r="19" customFormat="false" ht="15" hidden="false" customHeight="false" outlineLevel="0" collapsed="false">
      <c r="A19" s="23" t="s">
        <v>71</v>
      </c>
      <c r="B19" s="24" t="n">
        <f aca="false">B17+B18</f>
        <v>13</v>
      </c>
      <c r="C19" s="24" t="n">
        <f aca="false">C17+C18</f>
        <v>16.6</v>
      </c>
      <c r="D19" s="24" t="n">
        <f aca="false">D17+D18</f>
        <v>19.55</v>
      </c>
      <c r="E19" s="24" t="n">
        <f aca="false">E17+E18</f>
        <v>18.991</v>
      </c>
      <c r="F19" s="24" t="n">
        <f aca="false">F17+F18</f>
        <v>21.22318</v>
      </c>
      <c r="G19" s="24" t="n">
        <f aca="false">G17+G18</f>
        <v>24.3717164</v>
      </c>
      <c r="H19" s="24" t="n">
        <f aca="false">H17+H18</f>
        <v>24.007282072</v>
      </c>
      <c r="I19" s="24" t="n">
        <f aca="false">I17+I18</f>
        <v>26.43013643056</v>
      </c>
      <c r="J19" s="24" t="n">
        <f aca="false">J17+J18</f>
        <v>29.7655337019488</v>
      </c>
      <c r="K19" s="24" t="n">
        <f aca="false">K17+K18</f>
        <v>28.0842230279098</v>
      </c>
      <c r="L19" s="24" t="n">
        <f aca="false">L17+L18</f>
        <v>28.8865385673516</v>
      </c>
      <c r="M19" s="24" t="n">
        <f aca="false">M17+M18</f>
        <v>32.1728077960046</v>
      </c>
      <c r="N19" s="22" t="n">
        <f aca="false">SUM(B19:M19)</f>
        <v>283.082417995775</v>
      </c>
    </row>
    <row r="20" customFormat="false" ht="15" hidden="false" customHeight="false" outlineLevel="0" collapsed="false">
      <c r="A20" s="23" t="s">
        <v>72</v>
      </c>
      <c r="B20" s="24" t="n">
        <f aca="false">B15-B19</f>
        <v>47</v>
      </c>
      <c r="C20" s="24" t="n">
        <f aca="false">C15-C19</f>
        <v>115.4</v>
      </c>
      <c r="D20" s="24" t="n">
        <f aca="false">D15-D19</f>
        <v>171.45</v>
      </c>
      <c r="E20" s="24" t="n">
        <f aca="false">E15-E19</f>
        <v>160.829</v>
      </c>
      <c r="F20" s="24" t="n">
        <f aca="false">F15-F19</f>
        <v>203.24042</v>
      </c>
      <c r="G20" s="24" t="n">
        <f aca="false">G15-G19</f>
        <v>263.0626116</v>
      </c>
      <c r="H20" s="24" t="n">
        <f aca="false">H15-H19</f>
        <v>256.138359368</v>
      </c>
      <c r="I20" s="24" t="n">
        <f aca="false">I15-I19</f>
        <v>302.17259218064</v>
      </c>
      <c r="J20" s="24" t="n">
        <f aca="false">J15-J19</f>
        <v>365.545140337027</v>
      </c>
      <c r="K20" s="24" t="n">
        <f aca="false">K15-K19</f>
        <v>333.600237530287</v>
      </c>
      <c r="L20" s="24" t="n">
        <f aca="false">L15-L19</f>
        <v>348.844232779681</v>
      </c>
      <c r="M20" s="24" t="n">
        <f aca="false">M15-M19</f>
        <v>411.283348124087</v>
      </c>
      <c r="N20" s="22" t="n">
        <f aca="false">SUM(B20:M20)</f>
        <v>2978.56594191972</v>
      </c>
    </row>
    <row r="21" customFormat="false" ht="15" hidden="false" customHeight="false" outlineLevel="0" collapsed="false">
      <c r="A21" s="23" t="s">
        <v>73</v>
      </c>
      <c r="B21" s="21" t="n">
        <f aca="false">B20</f>
        <v>47</v>
      </c>
      <c r="C21" s="21" t="n">
        <f aca="false">B21+C20</f>
        <v>162.4</v>
      </c>
      <c r="D21" s="21" t="n">
        <f aca="false">C21+D20</f>
        <v>333.85</v>
      </c>
      <c r="E21" s="21" t="n">
        <f aca="false">D21+E20</f>
        <v>494.679</v>
      </c>
      <c r="F21" s="21" t="n">
        <f aca="false">E21+F20</f>
        <v>697.91942</v>
      </c>
      <c r="G21" s="21" t="n">
        <f aca="false">F21+G20</f>
        <v>960.9820316</v>
      </c>
      <c r="H21" s="21" t="n">
        <f aca="false">G21+H20</f>
        <v>1217.120390968</v>
      </c>
      <c r="I21" s="21" t="n">
        <f aca="false">H21+I20</f>
        <v>1519.29298314864</v>
      </c>
      <c r="J21" s="21" t="n">
        <f aca="false">I21+J20</f>
        <v>1884.83812348567</v>
      </c>
      <c r="K21" s="21" t="n">
        <f aca="false">J21+K20</f>
        <v>2218.43836101595</v>
      </c>
      <c r="L21" s="21" t="n">
        <f aca="false">K21+L20</f>
        <v>2567.28259379563</v>
      </c>
      <c r="M21" s="21" t="n">
        <f aca="false">L21+M20</f>
        <v>2978.56594191972</v>
      </c>
      <c r="N21" s="22" t="n">
        <f aca="false">M21</f>
        <v>2978.56594191972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4"/>
  </cols>
  <sheetData>
    <row r="1" customFormat="false" ht="17.35" hidden="false" customHeight="false" outlineLevel="0" collapsed="false">
      <c r="B1" s="14" t="s">
        <v>76</v>
      </c>
    </row>
    <row r="2" customFormat="false" ht="15" hidden="false" customHeight="false" outlineLevel="0" collapsed="false">
      <c r="B2" s="2" t="s">
        <v>77</v>
      </c>
    </row>
    <row r="4" customFormat="false" ht="15" hidden="false" customHeight="false" outlineLevel="0" collapsed="false">
      <c r="C4" s="5" t="s">
        <v>4</v>
      </c>
      <c r="D4" s="5" t="s">
        <v>5</v>
      </c>
      <c r="E4" s="5" t="s">
        <v>6</v>
      </c>
    </row>
    <row r="5" customFormat="false" ht="15" hidden="false" customHeight="false" outlineLevel="0" collapsed="false">
      <c r="B5" s="26" t="s">
        <v>78</v>
      </c>
      <c r="C5" s="27" t="n">
        <f aca="false">月次_保守!N15</f>
        <v>448.771423681246</v>
      </c>
      <c r="D5" s="27" t="n">
        <f aca="false">月次_標準!N15</f>
        <v>1502.80922900241</v>
      </c>
      <c r="E5" s="27" t="n">
        <f aca="false">月次_強気!N15</f>
        <v>3261.6483599155</v>
      </c>
    </row>
    <row r="6" customFormat="false" ht="15" hidden="false" customHeight="false" outlineLevel="0" collapsed="false">
      <c r="B6" s="6" t="s">
        <v>79</v>
      </c>
      <c r="C6" s="25" t="n">
        <f aca="false">月次_保守!N11</f>
        <v>234</v>
      </c>
      <c r="D6" s="25" t="n">
        <f aca="false">月次_標準!N11</f>
        <v>624</v>
      </c>
      <c r="E6" s="25" t="n">
        <f aca="false">月次_強気!N11</f>
        <v>1170</v>
      </c>
    </row>
    <row r="7" customFormat="false" ht="15" hidden="false" customHeight="false" outlineLevel="0" collapsed="false">
      <c r="B7" s="6" t="s">
        <v>80</v>
      </c>
      <c r="C7" s="25" t="n">
        <f aca="false">月次_保守!N12</f>
        <v>168</v>
      </c>
      <c r="D7" s="25" t="n">
        <f aca="false">月次_標準!N12</f>
        <v>560</v>
      </c>
      <c r="E7" s="25" t="n">
        <f aca="false">月次_強気!N12</f>
        <v>1260</v>
      </c>
    </row>
    <row r="8" customFormat="false" ht="15" hidden="false" customHeight="false" outlineLevel="0" collapsed="false">
      <c r="B8" s="6" t="s">
        <v>81</v>
      </c>
      <c r="C8" s="25" t="n">
        <f aca="false">月次_保守!N13</f>
        <v>46.7714236812455</v>
      </c>
      <c r="D8" s="25" t="n">
        <f aca="false">月次_標準!N13</f>
        <v>218.809229002412</v>
      </c>
      <c r="E8" s="25" t="n">
        <f aca="false">月次_強気!N13</f>
        <v>631.648359915497</v>
      </c>
    </row>
    <row r="9" customFormat="false" ht="15" hidden="false" customHeight="false" outlineLevel="0" collapsed="false">
      <c r="B9" s="6" t="s">
        <v>82</v>
      </c>
      <c r="C9" s="25" t="n">
        <f aca="false">月次_保守!N14</f>
        <v>0</v>
      </c>
      <c r="D9" s="25" t="n">
        <f aca="false">月次_標準!N14</f>
        <v>100</v>
      </c>
      <c r="E9" s="25" t="n">
        <f aca="false">月次_強気!N14</f>
        <v>200</v>
      </c>
    </row>
    <row r="10" customFormat="false" ht="15" hidden="false" customHeight="false" outlineLevel="0" collapsed="false">
      <c r="B10" s="6" t="s">
        <v>83</v>
      </c>
      <c r="C10" s="25" t="n">
        <f aca="false">月次_保守!N19</f>
        <v>142.438571184062</v>
      </c>
      <c r="D10" s="25" t="n">
        <f aca="false">月次_標準!N19</f>
        <v>195.140461450121</v>
      </c>
      <c r="E10" s="25" t="n">
        <f aca="false">月次_強気!N19</f>
        <v>283.082417995775</v>
      </c>
    </row>
    <row r="11" customFormat="false" ht="15" hidden="false" customHeight="false" outlineLevel="0" collapsed="false">
      <c r="B11" s="26" t="s">
        <v>84</v>
      </c>
      <c r="C11" s="27" t="n">
        <f aca="false">月次_保守!N20</f>
        <v>306.332852497183</v>
      </c>
      <c r="D11" s="27" t="n">
        <f aca="false">月次_標準!N20</f>
        <v>1307.66876755229</v>
      </c>
      <c r="E11" s="27" t="n">
        <f aca="false">月次_強気!N20</f>
        <v>2978.56594191972</v>
      </c>
    </row>
    <row r="12" customFormat="false" ht="15" hidden="false" customHeight="false" outlineLevel="0" collapsed="false">
      <c r="B12" s="11" t="s">
        <v>85</v>
      </c>
      <c r="C12" s="25" t="n">
        <f aca="false">月次_保守!M15</f>
        <v>52.4857145430923</v>
      </c>
      <c r="D12" s="25" t="n">
        <f aca="false">月次_標準!M15</f>
        <v>197.366724876214</v>
      </c>
      <c r="E12" s="25" t="n">
        <f aca="false">月次_強気!M15</f>
        <v>443.456155920092</v>
      </c>
    </row>
    <row r="13" customFormat="false" ht="15" hidden="false" customHeight="false" outlineLevel="0" collapsed="false">
      <c r="B13" s="6" t="s">
        <v>86</v>
      </c>
      <c r="C13" s="17" t="n">
        <f aca="false">月次_保守!N8</f>
        <v>0.464285727154617</v>
      </c>
      <c r="D13" s="17" t="n">
        <f aca="false">月次_標準!N8</f>
        <v>2.2183362438107</v>
      </c>
      <c r="E13" s="17" t="n">
        <f aca="false">月次_強気!N8</f>
        <v>6.47280779600459</v>
      </c>
    </row>
    <row r="14" customFormat="false" ht="15" hidden="false" customHeight="false" outlineLevel="0" collapsed="false">
      <c r="B14" s="6" t="s">
        <v>87</v>
      </c>
      <c r="C14" s="17" t="n">
        <f aca="false">月次_保守!N4</f>
        <v>19.5</v>
      </c>
      <c r="D14" s="17" t="n">
        <f aca="false">月次_標準!N4</f>
        <v>39</v>
      </c>
      <c r="E14" s="17" t="n">
        <f aca="false">月次_強気!N4</f>
        <v>58.5</v>
      </c>
    </row>
    <row r="16" customFormat="false" ht="15" hidden="false" customHeight="false" outlineLevel="0" collapsed="false">
      <c r="B16" s="2" t="s">
        <v>88</v>
      </c>
    </row>
    <row r="17" customFormat="false" ht="15" hidden="false" customHeight="false" outlineLevel="0" collapsed="false">
      <c r="B17" s="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2026-08-03T06:36:10Z</dcterms:created>
  <dc:creator>openpyxl</dc:creator>
  <dc:description/>
  <dc:language>en-US</dc:language>
  <cp:lastModifiedBy/>
  <dcterms:modified xsi:type="dcterms:W3CDTF">2026-08-03T06:36:10Z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